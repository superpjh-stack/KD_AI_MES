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분류요약" sheetId="1" state="visible" r:id="rId3"/>
    <sheet name="활용CAD" sheetId="2" state="visible" r:id="rId4"/>
    <sheet name="조건부CAD(CADian)" sheetId="3" state="visible" r:id="rId5"/>
    <sheet name="제외·비CAD" sheetId="4" state="visible" r:id="rId6"/>
  </sheets>
  <definedNames>
    <definedName function="false" hidden="true" localSheetId="3" name="_xlnm._FilterDatabase" vbProcedure="false">제외·비CAD!$A$1:$G$778</definedName>
    <definedName function="false" hidden="true" localSheetId="2" name="_xlnm._FilterDatabase" vbProcedure="false">'조건부CAD(CADian)'!$A$1:$I$321</definedName>
    <definedName function="false" hidden="true" localSheetId="1" name="_xlnm._FilterDatabase" vbProcedure="false">활용CAD!$A$1:$I$414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<sst xmlns="http://schemas.openxmlformats.org/spreadsheetml/2006/main" count="10176" uniqueCount="1901">
  <si>
    <r>
      <rPr>
        <b val="true"/>
        <sz val="14"/>
        <color rgb="FF1F4E79"/>
        <rFont val="맑은 고딕"/>
        <family val="0"/>
        <charset val="1"/>
      </rPr>
      <t xml:space="preserve">20 </t>
    </r>
    <r>
      <rPr>
        <b val="true"/>
        <sz val="14"/>
        <color rgb="FF1F4E79"/>
        <rFont val="Noto Sans CJK SC"/>
        <family val="2"/>
      </rPr>
      <t xml:space="preserve">경동도면함 </t>
    </r>
    <r>
      <rPr>
        <b val="true"/>
        <sz val="14"/>
        <color rgb="FF1F4E79"/>
        <rFont val="맑은 고딕"/>
        <family val="0"/>
        <charset val="1"/>
      </rPr>
      <t xml:space="preserve">· CAD </t>
    </r>
    <r>
      <rPr>
        <b val="true"/>
        <sz val="14"/>
        <color rgb="FF1F4E79"/>
        <rFont val="Noto Sans CJK SC"/>
        <family val="2"/>
      </rPr>
      <t xml:space="preserve">활용성 분류</t>
    </r>
  </si>
  <si>
    <r>
      <rPr>
        <sz val="8"/>
        <color rgb="FF808080"/>
        <rFont val="Noto Sans CJK SC"/>
        <family val="2"/>
      </rPr>
      <t xml:space="preserve">기준</t>
    </r>
    <r>
      <rPr>
        <sz val="8"/>
        <color rgb="FF808080"/>
        <rFont val="맑은 고딕"/>
        <family val="0"/>
        <charset val="1"/>
      </rPr>
      <t xml:space="preserve">: .dwg/.dxf=</t>
    </r>
    <r>
      <rPr>
        <sz val="8"/>
        <color rgb="FF808080"/>
        <rFont val="Noto Sans CJK SC"/>
        <family val="2"/>
      </rPr>
      <t xml:space="preserve">활용 </t>
    </r>
    <r>
      <rPr>
        <sz val="8"/>
        <color rgb="FF808080"/>
        <rFont val="맑은 고딕"/>
        <family val="0"/>
        <charset val="1"/>
      </rPr>
      <t xml:space="preserve">· .cad=</t>
    </r>
    <r>
      <rPr>
        <sz val="8"/>
        <color rgb="FF808080"/>
        <rFont val="Noto Sans CJK SC"/>
        <family val="2"/>
      </rPr>
      <t xml:space="preserve">조건부</t>
    </r>
    <r>
      <rPr>
        <sz val="8"/>
        <color rgb="FF808080"/>
        <rFont val="맑은 고딕"/>
        <family val="0"/>
        <charset val="1"/>
      </rPr>
      <t xml:space="preserve">(CADian </t>
    </r>
    <r>
      <rPr>
        <sz val="8"/>
        <color rgb="FF808080"/>
        <rFont val="Noto Sans CJK SC"/>
        <family val="2"/>
      </rPr>
      <t xml:space="preserve">전용</t>
    </r>
    <r>
      <rPr>
        <sz val="8"/>
        <color rgb="FF808080"/>
        <rFont val="맑은 고딕"/>
        <family val="0"/>
        <charset val="1"/>
      </rPr>
      <t xml:space="preserve">) · .bak/.log </t>
    </r>
    <r>
      <rPr>
        <sz val="8"/>
        <color rgb="FF808080"/>
        <rFont val="Noto Sans CJK SC"/>
        <family val="2"/>
      </rPr>
      <t xml:space="preserve">등</t>
    </r>
    <r>
      <rPr>
        <sz val="8"/>
        <color rgb="FF808080"/>
        <rFont val="맑은 고딕"/>
        <family val="0"/>
        <charset val="1"/>
      </rPr>
      <t xml:space="preserve">=</t>
    </r>
    <r>
      <rPr>
        <sz val="8"/>
        <color rgb="FF808080"/>
        <rFont val="Noto Sans CJK SC"/>
        <family val="2"/>
      </rPr>
      <t xml:space="preserve">제외 </t>
    </r>
    <r>
      <rPr>
        <sz val="8"/>
        <color rgb="FF808080"/>
        <rFont val="맑은 고딕"/>
        <family val="0"/>
        <charset val="1"/>
      </rPr>
      <t xml:space="preserve">· PDF/</t>
    </r>
    <r>
      <rPr>
        <sz val="8"/>
        <color rgb="FF808080"/>
        <rFont val="Noto Sans CJK SC"/>
        <family val="2"/>
      </rPr>
      <t xml:space="preserve">이미지</t>
    </r>
    <r>
      <rPr>
        <sz val="8"/>
        <color rgb="FF808080"/>
        <rFont val="맑은 고딕"/>
        <family val="0"/>
        <charset val="1"/>
      </rPr>
      <t xml:space="preserve">/</t>
    </r>
    <r>
      <rPr>
        <sz val="8"/>
        <color rgb="FF808080"/>
        <rFont val="Noto Sans CJK SC"/>
        <family val="2"/>
      </rPr>
      <t xml:space="preserve">문서</t>
    </r>
    <r>
      <rPr>
        <sz val="8"/>
        <color rgb="FF808080"/>
        <rFont val="맑은 고딕"/>
        <family val="0"/>
        <charset val="1"/>
      </rPr>
      <t xml:space="preserve">=</t>
    </r>
    <r>
      <rPr>
        <sz val="8"/>
        <color rgb="FF808080"/>
        <rFont val="Noto Sans CJK SC"/>
        <family val="2"/>
      </rPr>
      <t xml:space="preserve">비</t>
    </r>
    <r>
      <rPr>
        <sz val="8"/>
        <color rgb="FF808080"/>
        <rFont val="맑은 고딕"/>
        <family val="0"/>
        <charset val="1"/>
      </rPr>
      <t xml:space="preserve">CAD  |  </t>
    </r>
    <r>
      <rPr>
        <sz val="8"/>
        <color rgb="FF808080"/>
        <rFont val="Noto Sans CJK SC"/>
        <family val="2"/>
      </rPr>
      <t xml:space="preserve">분류일 </t>
    </r>
    <r>
      <rPr>
        <sz val="8"/>
        <color rgb="FF808080"/>
        <rFont val="맑은 고딕"/>
        <family val="0"/>
        <charset val="1"/>
      </rPr>
      <t xml:space="preserve">2026-07-21</t>
    </r>
  </si>
  <si>
    <t xml:space="preserve">① 전체 분류 현황</t>
  </si>
  <si>
    <t xml:space="preserve">분류</t>
  </si>
  <si>
    <t xml:space="preserve">파일 수</t>
  </si>
  <si>
    <t xml:space="preserve">설명</t>
  </si>
  <si>
    <r>
      <rPr>
        <sz val="9"/>
        <rFont val="Noto Sans CJK SC"/>
        <family val="2"/>
      </rPr>
      <t xml:space="preserve">활용</t>
    </r>
    <r>
      <rPr>
        <sz val="9"/>
        <rFont val="맑은 고딕"/>
        <family val="0"/>
        <charset val="1"/>
      </rPr>
      <t xml:space="preserve">CAD (.dwg/.dxf)</t>
    </r>
  </si>
  <si>
    <r>
      <rPr>
        <sz val="9"/>
        <rFont val="Noto Sans CJK SC"/>
        <family val="2"/>
      </rPr>
      <t xml:space="preserve">표준 포맷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바로 열람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변환</t>
    </r>
    <r>
      <rPr>
        <sz val="9"/>
        <rFont val="맑은 고딕"/>
        <family val="0"/>
        <charset val="1"/>
      </rPr>
      <t xml:space="preserve">·AI </t>
    </r>
    <r>
      <rPr>
        <sz val="9"/>
        <rFont val="Noto Sans CJK SC"/>
        <family val="2"/>
      </rPr>
      <t xml:space="preserve">학습 활용 가능</t>
    </r>
  </si>
  <si>
    <r>
      <rPr>
        <sz val="9"/>
        <rFont val="Noto Sans CJK SC"/>
        <family val="2"/>
      </rPr>
      <t xml:space="preserve">조건부</t>
    </r>
    <r>
      <rPr>
        <sz val="9"/>
        <rFont val="맑은 고딕"/>
        <family val="0"/>
        <charset val="1"/>
      </rPr>
      <t xml:space="preserve">CAD (.cad)</t>
    </r>
  </si>
  <si>
    <r>
      <rPr>
        <sz val="9"/>
        <rFont val="맑은 고딕"/>
        <family val="0"/>
        <charset val="1"/>
      </rPr>
      <t xml:space="preserve">CADian </t>
    </r>
    <r>
      <rPr>
        <sz val="9"/>
        <rFont val="Noto Sans CJK SC"/>
        <family val="2"/>
      </rPr>
      <t xml:space="preserve">전용 </t>
    </r>
    <r>
      <rPr>
        <sz val="9"/>
        <rFont val="맑은 고딕"/>
        <family val="0"/>
        <charset val="1"/>
      </rPr>
      <t xml:space="preserve">- DWG </t>
    </r>
    <r>
      <rPr>
        <sz val="9"/>
        <rFont val="Noto Sans CJK SC"/>
        <family val="2"/>
      </rPr>
      <t xml:space="preserve">변환 후 활용</t>
    </r>
  </si>
  <si>
    <r>
      <rPr>
        <sz val="9"/>
        <rFont val="Noto Sans CJK SC"/>
        <family val="2"/>
      </rPr>
      <t xml:space="preserve">제외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비</t>
    </r>
    <r>
      <rPr>
        <sz val="9"/>
        <rFont val="맑은 고딕"/>
        <family val="0"/>
        <charset val="1"/>
      </rPr>
      <t xml:space="preserve">CAD</t>
    </r>
  </si>
  <si>
    <r>
      <rPr>
        <sz val="9"/>
        <rFont val="Noto Sans CJK SC"/>
        <family val="2"/>
      </rPr>
      <t xml:space="preserve">백업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시스템 파일 및 </t>
    </r>
    <r>
      <rPr>
        <sz val="9"/>
        <rFont val="맑은 고딕"/>
        <family val="0"/>
        <charset val="1"/>
      </rPr>
      <t xml:space="preserve">PDF·</t>
    </r>
    <r>
      <rPr>
        <sz val="9"/>
        <rFont val="Noto Sans CJK SC"/>
        <family val="2"/>
      </rPr>
      <t xml:space="preserve">사진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문서</t>
    </r>
  </si>
  <si>
    <t xml:space="preserve">합계</t>
  </si>
  <si>
    <r>
      <rPr>
        <b val="true"/>
        <sz val="11"/>
        <color rgb="FF1F4E79"/>
        <rFont val="Noto Sans CJK SC"/>
        <family val="2"/>
      </rPr>
      <t xml:space="preserve">② 제품별 </t>
    </r>
    <r>
      <rPr>
        <b val="true"/>
        <sz val="11"/>
        <color rgb="FF1F4E79"/>
        <rFont val="맑은 고딕"/>
        <family val="0"/>
        <charset val="1"/>
      </rPr>
      <t xml:space="preserve">CAD </t>
    </r>
    <r>
      <rPr>
        <b val="true"/>
        <sz val="11"/>
        <color rgb="FF1F4E79"/>
        <rFont val="Noto Sans CJK SC"/>
        <family val="2"/>
      </rPr>
      <t xml:space="preserve">도면 수량</t>
    </r>
  </si>
  <si>
    <t xml:space="preserve">제품</t>
  </si>
  <si>
    <r>
      <rPr>
        <b val="true"/>
        <sz val="10"/>
        <color rgb="FFFFFFFF"/>
        <rFont val="Noto Sans CJK SC"/>
        <family val="2"/>
      </rPr>
      <t xml:space="preserve">활용</t>
    </r>
    <r>
      <rPr>
        <b val="true"/>
        <sz val="10"/>
        <color rgb="FFFFFFFF"/>
        <rFont val="맑은 고딕"/>
        <family val="0"/>
        <charset val="1"/>
      </rPr>
      <t xml:space="preserve">CAD(.dwg/.dxf)</t>
    </r>
  </si>
  <si>
    <r>
      <rPr>
        <b val="true"/>
        <sz val="10"/>
        <color rgb="FFFFFFFF"/>
        <rFont val="Noto Sans CJK SC"/>
        <family val="2"/>
      </rPr>
      <t xml:space="preserve">조건부</t>
    </r>
    <r>
      <rPr>
        <b val="true"/>
        <sz val="10"/>
        <color rgb="FFFFFFFF"/>
        <rFont val="맑은 고딕"/>
        <family val="0"/>
        <charset val="1"/>
      </rPr>
      <t xml:space="preserve">(.cad)</t>
    </r>
  </si>
  <si>
    <t xml:space="preserve">교반부품</t>
  </si>
  <si>
    <r>
      <rPr>
        <sz val="9"/>
        <rFont val="Noto Sans CJK SC"/>
        <family val="2"/>
      </rPr>
      <t xml:space="preserve">기타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미분류</t>
    </r>
  </si>
  <si>
    <t xml:space="preserve">누체필터</t>
  </si>
  <si>
    <t xml:space="preserve">리시버탱크</t>
  </si>
  <si>
    <t xml:space="preserve">믹서</t>
  </si>
  <si>
    <t xml:space="preserve">반응기</t>
  </si>
  <si>
    <t xml:space="preserve">범용부품</t>
  </si>
  <si>
    <r>
      <rPr>
        <sz val="9"/>
        <rFont val="Noto Sans CJK SC"/>
        <family val="2"/>
      </rPr>
      <t xml:space="preserve">베셀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용기</t>
    </r>
    <r>
      <rPr>
        <sz val="9"/>
        <rFont val="맑은 고딕"/>
        <family val="0"/>
        <charset val="1"/>
      </rPr>
      <t xml:space="preserve">)</t>
    </r>
  </si>
  <si>
    <t xml:space="preserve">저장탱크</t>
  </si>
  <si>
    <t xml:space="preserve">진공건조기</t>
  </si>
  <si>
    <r>
      <rPr>
        <sz val="9"/>
        <rFont val="Noto Sans CJK SC"/>
        <family val="2"/>
      </rPr>
      <t xml:space="preserve">탱크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기타</t>
    </r>
    <r>
      <rPr>
        <sz val="9"/>
        <rFont val="맑은 고딕"/>
        <family val="0"/>
        <charset val="1"/>
      </rPr>
      <t xml:space="preserve">)</t>
    </r>
  </si>
  <si>
    <r>
      <rPr>
        <sz val="8"/>
        <color rgb="FF808080"/>
        <rFont val="Noto Sans CJK SC"/>
        <family val="2"/>
      </rPr>
      <t xml:space="preserve">※ 제품 태깅</t>
    </r>
    <r>
      <rPr>
        <sz val="8"/>
        <color rgb="FF808080"/>
        <rFont val="맑은 고딕"/>
        <family val="0"/>
        <charset val="1"/>
      </rPr>
      <t xml:space="preserve">: </t>
    </r>
    <r>
      <rPr>
        <sz val="8"/>
        <color rgb="FF808080"/>
        <rFont val="Noto Sans CJK SC"/>
        <family val="2"/>
      </rPr>
      <t xml:space="preserve">폴더경로</t>
    </r>
    <r>
      <rPr>
        <sz val="8"/>
        <color rgb="FF808080"/>
        <rFont val="맑은 고딕"/>
        <family val="0"/>
        <charset val="1"/>
      </rPr>
      <t xml:space="preserve">·</t>
    </r>
    <r>
      <rPr>
        <sz val="8"/>
        <color rgb="FF808080"/>
        <rFont val="Noto Sans CJK SC"/>
        <family val="2"/>
      </rPr>
      <t xml:space="preserve">파일명 키워드 자동 매칭 </t>
    </r>
    <r>
      <rPr>
        <sz val="8"/>
        <color rgb="FF808080"/>
        <rFont val="맑은 고딕"/>
        <family val="0"/>
        <charset val="1"/>
      </rPr>
      <t xml:space="preserve">- '</t>
    </r>
    <r>
      <rPr>
        <sz val="8"/>
        <color rgb="FF808080"/>
        <rFont val="Noto Sans CJK SC"/>
        <family val="2"/>
      </rPr>
      <t xml:space="preserve">기타</t>
    </r>
    <r>
      <rPr>
        <sz val="8"/>
        <color rgb="FF808080"/>
        <rFont val="맑은 고딕"/>
        <family val="0"/>
        <charset val="1"/>
      </rPr>
      <t xml:space="preserve">/</t>
    </r>
    <r>
      <rPr>
        <sz val="8"/>
        <color rgb="FF808080"/>
        <rFont val="Noto Sans CJK SC"/>
        <family val="2"/>
      </rPr>
      <t xml:space="preserve">미분류</t>
    </r>
    <r>
      <rPr>
        <sz val="8"/>
        <color rgb="FF808080"/>
        <rFont val="맑은 고딕"/>
        <family val="0"/>
        <charset val="1"/>
      </rPr>
      <t xml:space="preserve">'</t>
    </r>
    <r>
      <rPr>
        <sz val="8"/>
        <color rgb="FF808080"/>
        <rFont val="Noto Sans CJK SC"/>
        <family val="2"/>
      </rPr>
      <t xml:space="preserve">는 수동 확인 권장</t>
    </r>
  </si>
  <si>
    <r>
      <rPr>
        <b val="true"/>
        <sz val="11"/>
        <color rgb="FF1F4E79"/>
        <rFont val="Noto Sans CJK SC"/>
        <family val="2"/>
      </rPr>
      <t xml:space="preserve">③ 제외</t>
    </r>
    <r>
      <rPr>
        <b val="true"/>
        <sz val="11"/>
        <color rgb="FF1F4E79"/>
        <rFont val="맑은 고딕"/>
        <family val="0"/>
        <charset val="1"/>
      </rPr>
      <t xml:space="preserve">·</t>
    </r>
    <r>
      <rPr>
        <b val="true"/>
        <sz val="11"/>
        <color rgb="FF1F4E79"/>
        <rFont val="Noto Sans CJK SC"/>
        <family val="2"/>
      </rPr>
      <t xml:space="preserve">비</t>
    </r>
    <r>
      <rPr>
        <b val="true"/>
        <sz val="11"/>
        <color rgb="FF1F4E79"/>
        <rFont val="맑은 고딕"/>
        <family val="0"/>
        <charset val="1"/>
      </rPr>
      <t xml:space="preserve">CAD </t>
    </r>
    <r>
      <rPr>
        <b val="true"/>
        <sz val="11"/>
        <color rgb="FF1F4E79"/>
        <rFont val="Noto Sans CJK SC"/>
        <family val="2"/>
      </rPr>
      <t xml:space="preserve">세부</t>
    </r>
  </si>
  <si>
    <r>
      <rPr>
        <sz val="9"/>
        <rFont val="Noto Sans CJK SC"/>
        <family val="2"/>
      </rPr>
      <t xml:space="preserve">기타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내부압축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해제 필요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</si>
  <si>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비</t>
    </r>
    <r>
      <rPr>
        <sz val="9"/>
        <rFont val="맑은 고딕"/>
        <family val="0"/>
        <charset val="1"/>
      </rPr>
      <t xml:space="preserve">CAD-PDF</t>
    </r>
    <r>
      <rPr>
        <sz val="9"/>
        <rFont val="Noto Sans CJK SC"/>
        <family val="2"/>
      </rPr>
      <t xml:space="preserve">문서</t>
    </r>
  </si>
  <si>
    <r>
      <rPr>
        <sz val="9"/>
        <rFont val="Noto Sans CJK SC"/>
        <family val="2"/>
      </rPr>
      <t xml:space="preserve">비</t>
    </r>
    <r>
      <rPr>
        <sz val="9"/>
        <rFont val="맑은 고딕"/>
        <family val="0"/>
        <charset val="1"/>
      </rPr>
      <t xml:space="preserve">CAD-</t>
    </r>
    <r>
      <rPr>
        <sz val="9"/>
        <rFont val="Noto Sans CJK SC"/>
        <family val="2"/>
      </rPr>
      <t xml:space="preserve">문서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엑셀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워드 등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</si>
  <si>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비</t>
    </r>
    <r>
      <rPr>
        <sz val="9"/>
        <rFont val="맑은 고딕"/>
        <family val="0"/>
        <charset val="1"/>
      </rPr>
      <t xml:space="preserve">CAD-</t>
    </r>
    <r>
      <rPr>
        <sz val="9"/>
        <rFont val="Noto Sans CJK SC"/>
        <family val="2"/>
      </rPr>
      <t xml:space="preserve">이미지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사진</t>
    </r>
  </si>
  <si>
    <r>
      <rPr>
        <sz val="9"/>
        <rFont val="Noto Sans CJK SC"/>
        <family val="2"/>
      </rPr>
      <t xml:space="preserve">제외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백업</t>
    </r>
    <r>
      <rPr>
        <sz val="9"/>
        <rFont val="맑은 고딕"/>
        <family val="0"/>
        <charset val="1"/>
      </rPr>
      <t xml:space="preserve">(.bak)</t>
    </r>
  </si>
  <si>
    <r>
      <rPr>
        <sz val="9"/>
        <rFont val="Noto Sans CJK SC"/>
        <family val="2"/>
      </rPr>
      <t xml:space="preserve">제외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시스템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임시</t>
    </r>
  </si>
  <si>
    <t xml:space="preserve">프로젝트폴더</t>
  </si>
  <si>
    <t xml:space="preserve">폴더경로</t>
  </si>
  <si>
    <t xml:space="preserve">파일명</t>
  </si>
  <si>
    <t xml:space="preserve">확장자</t>
  </si>
  <si>
    <r>
      <rPr>
        <b val="true"/>
        <sz val="10"/>
        <color rgb="FFFFFFFF"/>
        <rFont val="맑은 고딕"/>
        <family val="0"/>
        <charset val="1"/>
      </rPr>
      <t xml:space="preserve">CAD</t>
    </r>
    <r>
      <rPr>
        <b val="true"/>
        <sz val="10"/>
        <color rgb="FFFFFFFF"/>
        <rFont val="Noto Sans CJK SC"/>
        <family val="2"/>
      </rPr>
      <t xml:space="preserve">버전</t>
    </r>
  </si>
  <si>
    <r>
      <rPr>
        <b val="true"/>
        <sz val="10"/>
        <color rgb="FFFFFFFF"/>
        <rFont val="Noto Sans CJK SC"/>
        <family val="2"/>
      </rPr>
      <t xml:space="preserve">크기</t>
    </r>
    <r>
      <rPr>
        <b val="true"/>
        <sz val="10"/>
        <color rgb="FFFFFFFF"/>
        <rFont val="맑은 고딕"/>
        <family val="0"/>
        <charset val="1"/>
      </rPr>
      <t xml:space="preserve">(KB)</t>
    </r>
  </si>
  <si>
    <t xml:space="preserve">수정일자</t>
  </si>
  <si>
    <t xml:space="preserve">비고</t>
  </si>
  <si>
    <r>
      <rPr>
        <sz val="9"/>
        <rFont val="맑은 고딕"/>
        <family val="0"/>
        <charset val="1"/>
      </rPr>
      <t xml:space="preserve">GD2007-00 </t>
    </r>
    <r>
      <rPr>
        <sz val="9"/>
        <rFont val="Noto Sans CJK SC"/>
        <family val="2"/>
      </rPr>
      <t xml:space="preserve">동광제약</t>
    </r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</si>
  <si>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/GD2007-00 </t>
    </r>
    <r>
      <rPr>
        <sz val="9"/>
        <rFont val="Noto Sans CJK SC"/>
        <family val="2"/>
      </rPr>
      <t xml:space="preserve">동광제약</t>
    </r>
    <r>
      <rPr>
        <sz val="9"/>
        <rFont val="맑은 고딕"/>
        <family val="0"/>
        <charset val="1"/>
      </rPr>
      <t xml:space="preserve">/GD2007-01-00-</t>
    </r>
    <r>
      <rPr>
        <sz val="9"/>
        <rFont val="Noto Sans CJK SC"/>
        <family val="2"/>
      </rPr>
      <t xml:space="preserve">압력텡크</t>
    </r>
    <r>
      <rPr>
        <sz val="9"/>
        <rFont val="맑은 고딕"/>
        <family val="0"/>
        <charset val="1"/>
      </rPr>
      <t xml:space="preserve">(70L) </t>
    </r>
    <r>
      <rPr>
        <sz val="9"/>
        <rFont val="Noto Sans CJK SC"/>
        <family val="2"/>
      </rPr>
      <t xml:space="preserve">추가작업</t>
    </r>
    <r>
      <rPr>
        <sz val="9"/>
        <rFont val="맑은 고딕"/>
        <family val="0"/>
        <charset val="1"/>
      </rPr>
      <t xml:space="preserve">/SJ1903-01 </t>
    </r>
    <r>
      <rPr>
        <sz val="9"/>
        <rFont val="Noto Sans CJK SC"/>
        <family val="2"/>
      </rPr>
      <t xml:space="preserve">동광제약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교반기</t>
    </r>
  </si>
  <si>
    <t xml:space="preserve">PACKING.dwg</t>
  </si>
  <si>
    <t xml:space="preserve">.dwg</t>
  </si>
  <si>
    <t xml:space="preserve">AutoCAD 2000</t>
  </si>
  <si>
    <t xml:space="preserve">2019-01-24</t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</si>
  <si>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/GD2007-00 </t>
    </r>
    <r>
      <rPr>
        <sz val="9"/>
        <rFont val="Noto Sans CJK SC"/>
        <family val="2"/>
      </rPr>
      <t xml:space="preserve">동광제약</t>
    </r>
    <r>
      <rPr>
        <sz val="9"/>
        <rFont val="맑은 고딕"/>
        <family val="0"/>
        <charset val="1"/>
      </rPr>
      <t xml:space="preserve">/GD2007-01-00-</t>
    </r>
    <r>
      <rPr>
        <sz val="9"/>
        <rFont val="Noto Sans CJK SC"/>
        <family val="2"/>
      </rPr>
      <t xml:space="preserve">압력텡크</t>
    </r>
    <r>
      <rPr>
        <sz val="9"/>
        <rFont val="맑은 고딕"/>
        <family val="0"/>
        <charset val="1"/>
      </rPr>
      <t xml:space="preserve">(70L) </t>
    </r>
    <r>
      <rPr>
        <sz val="9"/>
        <rFont val="Noto Sans CJK SC"/>
        <family val="2"/>
      </rPr>
      <t xml:space="preserve">추가작업</t>
    </r>
    <r>
      <rPr>
        <sz val="9"/>
        <rFont val="맑은 고딕"/>
        <family val="0"/>
        <charset val="1"/>
      </rPr>
      <t xml:space="preserve">/SJ1903-01 </t>
    </r>
    <r>
      <rPr>
        <sz val="9"/>
        <rFont val="Noto Sans CJK SC"/>
        <family val="2"/>
      </rPr>
      <t xml:space="preserve">동광제약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/SJ1800-09-</t>
    </r>
    <r>
      <rPr>
        <sz val="9"/>
        <rFont val="Noto Sans CJK SC"/>
        <family val="2"/>
      </rPr>
      <t xml:space="preserve">동광제약</t>
    </r>
  </si>
  <si>
    <t xml:space="preserve">M145- clamp type-2018.11.07.dwg</t>
  </si>
  <si>
    <t xml:space="preserve">2018-11-16</t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</si>
  <si>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부품</t>
    </r>
    <r>
      <rPr>
        <sz val="9"/>
        <rFont val="맑은 고딕"/>
        <family val="0"/>
        <charset val="1"/>
      </rPr>
      <t xml:space="preserve">.dwg</t>
    </r>
  </si>
  <si>
    <t xml:space="preserve">2019-01-13</t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</si>
  <si>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.dwg</t>
    </r>
  </si>
  <si>
    <t xml:space="preserve">2018-10-19</t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</si>
  <si>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B-201027.dwg</t>
    </r>
  </si>
  <si>
    <t xml:space="preserve">AutoCAD R11/12</t>
  </si>
  <si>
    <t xml:space="preserve">2020-12-02</t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</si>
  <si>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B-201027B.dwg</t>
    </r>
  </si>
  <si>
    <t xml:space="preserve">2020-11-12</t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</si>
  <si>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B-201201.dwg</t>
    </r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</si>
  <si>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B-201207.dwg</t>
    </r>
  </si>
  <si>
    <t xml:space="preserve">2020-12-09</t>
  </si>
  <si>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루트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</si>
  <si>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</si>
  <si>
    <t xml:space="preserve">SAMPLE.dwg</t>
  </si>
  <si>
    <t xml:space="preserve">2020-04-17</t>
  </si>
  <si>
    <r>
      <rPr>
        <sz val="9"/>
        <rFont val="맑은 고딕"/>
        <family val="0"/>
        <charset val="1"/>
      </rPr>
      <t xml:space="preserve">GD1704-</t>
    </r>
    <r>
      <rPr>
        <sz val="9"/>
        <rFont val="Noto Sans CJK SC"/>
        <family val="2"/>
      </rPr>
      <t xml:space="preserve">두루텍</t>
    </r>
  </si>
  <si>
    <r>
      <rPr>
        <sz val="9"/>
        <rFont val="맑은 고딕"/>
        <family val="0"/>
        <charset val="1"/>
      </rPr>
      <t xml:space="preserve">17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/GD1704-</t>
    </r>
    <r>
      <rPr>
        <sz val="9"/>
        <rFont val="Noto Sans CJK SC"/>
        <family val="2"/>
      </rPr>
      <t xml:space="preserve">두루텍</t>
    </r>
  </si>
  <si>
    <t xml:space="preserve">143_1.dwg</t>
  </si>
  <si>
    <t xml:space="preserve">2017-11-07</t>
  </si>
  <si>
    <t xml:space="preserve">PLATE.dwg</t>
  </si>
  <si>
    <t xml:space="preserve">2017-07-05</t>
  </si>
  <si>
    <r>
      <rPr>
        <sz val="9"/>
        <rFont val="Noto Sans CJK SC"/>
        <family val="2"/>
      </rPr>
      <t xml:space="preserve">두루텍 허가도면</t>
    </r>
    <r>
      <rPr>
        <sz val="9"/>
        <rFont val="맑은 고딕"/>
        <family val="0"/>
        <charset val="1"/>
      </rPr>
      <t xml:space="preserve">2007-170916.dwg</t>
    </r>
  </si>
  <si>
    <t xml:space="preserve">2017-09-16</t>
  </si>
  <si>
    <r>
      <rPr>
        <sz val="9"/>
        <rFont val="Noto Sans CJK SC"/>
        <family val="2"/>
      </rPr>
      <t xml:space="preserve">두루텍 허가도면</t>
    </r>
    <r>
      <rPr>
        <sz val="9"/>
        <rFont val="맑은 고딕"/>
        <family val="0"/>
        <charset val="1"/>
      </rPr>
      <t xml:space="preserve">2007.dwg</t>
    </r>
  </si>
  <si>
    <r>
      <rPr>
        <sz val="9"/>
        <rFont val="맑은 고딕"/>
        <family val="0"/>
        <charset val="1"/>
      </rPr>
      <t xml:space="preserve">GD1806-</t>
    </r>
    <r>
      <rPr>
        <sz val="9"/>
        <rFont val="Noto Sans CJK SC"/>
        <family val="2"/>
      </rPr>
      <t xml:space="preserve">최성배</t>
    </r>
  </si>
  <si>
    <r>
      <rPr>
        <sz val="9"/>
        <rFont val="맑은 고딕"/>
        <family val="0"/>
        <charset val="1"/>
      </rPr>
      <t xml:space="preserve">18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/GD1806-</t>
    </r>
    <r>
      <rPr>
        <sz val="9"/>
        <rFont val="Noto Sans CJK SC"/>
        <family val="2"/>
      </rPr>
      <t xml:space="preserve">최성배</t>
    </r>
  </si>
  <si>
    <t xml:space="preserve">HEAT_EX_101.DWG</t>
  </si>
  <si>
    <t xml:space="preserve">2018-05-18</t>
  </si>
  <si>
    <r>
      <rPr>
        <sz val="9"/>
        <rFont val="Noto Sans CJK SC"/>
        <family val="2"/>
      </rPr>
      <t xml:space="preserve">열교환기</t>
    </r>
    <r>
      <rPr>
        <sz val="9"/>
        <rFont val="맑은 고딕"/>
        <family val="0"/>
        <charset val="1"/>
      </rPr>
      <t xml:space="preserve">.dwg</t>
    </r>
  </si>
  <si>
    <t xml:space="preserve">2018-05-14</t>
  </si>
  <si>
    <r>
      <rPr>
        <sz val="9"/>
        <rFont val="Noto Sans CJK SC"/>
        <family val="2"/>
      </rPr>
      <t xml:space="preserve">열교환기</t>
    </r>
    <r>
      <rPr>
        <sz val="9"/>
        <rFont val="맑은 고딕"/>
        <family val="0"/>
        <charset val="1"/>
      </rPr>
      <t xml:space="preserve">00.dwg</t>
    </r>
  </si>
  <si>
    <r>
      <rPr>
        <sz val="9"/>
        <rFont val="Noto Sans CJK SC"/>
        <family val="2"/>
      </rPr>
      <t xml:space="preserve">열교환기</t>
    </r>
    <r>
      <rPr>
        <sz val="9"/>
        <rFont val="맑은 고딕"/>
        <family val="0"/>
        <charset val="1"/>
      </rPr>
      <t xml:space="preserve">A.dwg</t>
    </r>
  </si>
  <si>
    <r>
      <rPr>
        <sz val="9"/>
        <rFont val="Noto Sans CJK SC"/>
        <family val="2"/>
      </rPr>
      <t xml:space="preserve">열교환기</t>
    </r>
    <r>
      <rPr>
        <sz val="9"/>
        <rFont val="맑은 고딕"/>
        <family val="0"/>
        <charset val="1"/>
      </rPr>
      <t xml:space="preserve">A0.dwg</t>
    </r>
  </si>
  <si>
    <r>
      <rPr>
        <sz val="9"/>
        <rFont val="Noto Sans CJK SC"/>
        <family val="2"/>
      </rPr>
      <t xml:space="preserve">열교환기</t>
    </r>
    <r>
      <rPr>
        <sz val="9"/>
        <rFont val="맑은 고딕"/>
        <family val="0"/>
        <charset val="1"/>
      </rPr>
      <t xml:space="preserve">B.dwg</t>
    </r>
  </si>
  <si>
    <r>
      <rPr>
        <sz val="9"/>
        <rFont val="Noto Sans CJK SC"/>
        <family val="2"/>
      </rPr>
      <t xml:space="preserve">열교환기</t>
    </r>
    <r>
      <rPr>
        <sz val="9"/>
        <rFont val="맑은 고딕"/>
        <family val="0"/>
        <charset val="1"/>
      </rPr>
      <t xml:space="preserve">B0.dwg</t>
    </r>
  </si>
  <si>
    <r>
      <rPr>
        <sz val="9"/>
        <rFont val="Noto Sans CJK SC"/>
        <family val="2"/>
      </rPr>
      <t xml:space="preserve">열교환기</t>
    </r>
    <r>
      <rPr>
        <sz val="9"/>
        <rFont val="맑은 고딕"/>
        <family val="0"/>
        <charset val="1"/>
      </rPr>
      <t xml:space="preserve">_2.dwg</t>
    </r>
  </si>
  <si>
    <r>
      <rPr>
        <sz val="9"/>
        <rFont val="맑은 고딕"/>
        <family val="0"/>
        <charset val="1"/>
      </rPr>
      <t xml:space="preserve">GD2003-00 </t>
    </r>
    <r>
      <rPr>
        <sz val="9"/>
        <rFont val="Noto Sans CJK SC"/>
        <family val="2"/>
      </rPr>
      <t xml:space="preserve">웰이엔씨</t>
    </r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</si>
  <si>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/GD2003-00 </t>
    </r>
    <r>
      <rPr>
        <sz val="9"/>
        <rFont val="Noto Sans CJK SC"/>
        <family val="2"/>
      </rPr>
      <t xml:space="preserve">웰이엔씨</t>
    </r>
    <r>
      <rPr>
        <sz val="9"/>
        <rFont val="맑은 고딕"/>
        <family val="0"/>
        <charset val="1"/>
      </rPr>
      <t xml:space="preserve">/GD2003-04-</t>
    </r>
    <r>
      <rPr>
        <sz val="9"/>
        <rFont val="Noto Sans CJK SC"/>
        <family val="2"/>
      </rPr>
      <t xml:space="preserve">개조건</t>
    </r>
  </si>
  <si>
    <t xml:space="preserve">GD2003-07-00-L.dwg</t>
  </si>
  <si>
    <t xml:space="preserve">2020-11-26</t>
  </si>
  <si>
    <t xml:space="preserve">GD2003-07-00-L1.dwg</t>
  </si>
  <si>
    <t xml:space="preserve">GD2003-07-00-L2.dwg</t>
  </si>
  <si>
    <t xml:space="preserve">2020-12-28</t>
  </si>
  <si>
    <t xml:space="preserve">GD2003-07-00-L3.dwg</t>
  </si>
  <si>
    <t xml:space="preserve">2021-01-04</t>
  </si>
  <si>
    <t xml:space="preserve">GD2003-07-00-L4.dwg</t>
  </si>
  <si>
    <t xml:space="preserve">2021-03-25</t>
  </si>
  <si>
    <t xml:space="preserve">GD2003-07-00.dwg</t>
  </si>
  <si>
    <r>
      <rPr>
        <sz val="9"/>
        <rFont val="Noto Sans CJK SC"/>
        <family val="2"/>
      </rPr>
      <t xml:space="preserve">드라이브 유니트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툴</t>
    </r>
    <r>
      <rPr>
        <sz val="9"/>
        <rFont val="맑은 고딕"/>
        <family val="0"/>
        <charset val="1"/>
      </rPr>
      <t xml:space="preserve">.dwg</t>
    </r>
  </si>
  <si>
    <t xml:space="preserve">2020-12-04</t>
  </si>
  <si>
    <r>
      <rPr>
        <sz val="9"/>
        <rFont val="맑은 고딕"/>
        <family val="0"/>
        <charset val="1"/>
      </rPr>
      <t xml:space="preserve">GD2005-00 </t>
    </r>
    <r>
      <rPr>
        <sz val="9"/>
        <rFont val="Noto Sans CJK SC"/>
        <family val="2"/>
      </rPr>
      <t xml:space="preserve">한모루</t>
    </r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</si>
  <si>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/GD2005-00 </t>
    </r>
    <r>
      <rPr>
        <sz val="9"/>
        <rFont val="Noto Sans CJK SC"/>
        <family val="2"/>
      </rPr>
      <t xml:space="preserve">한모루</t>
    </r>
  </si>
  <si>
    <t xml:space="preserve">Unnamed1.dwg</t>
  </si>
  <si>
    <t xml:space="preserve">2020-09-21</t>
  </si>
  <si>
    <r>
      <rPr>
        <sz val="9"/>
        <rFont val="Noto Sans CJK SC"/>
        <family val="2"/>
      </rPr>
      <t xml:space="preserve">종근당 건강 부속 도면</t>
    </r>
    <r>
      <rPr>
        <sz val="9"/>
        <rFont val="맑은 고딕"/>
        <family val="0"/>
        <charset val="1"/>
      </rPr>
      <t xml:space="preserve">.dwg</t>
    </r>
  </si>
  <si>
    <t xml:space="preserve">2020-01-30</t>
  </si>
  <si>
    <r>
      <rPr>
        <sz val="9"/>
        <rFont val="Noto Sans CJK SC"/>
        <family val="2"/>
      </rPr>
      <t xml:space="preserve">종근당 건강 부속 레이저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</si>
  <si>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/GD2007-00 </t>
    </r>
    <r>
      <rPr>
        <sz val="9"/>
        <rFont val="Noto Sans CJK SC"/>
        <family val="2"/>
      </rPr>
      <t xml:space="preserve">동광제약</t>
    </r>
  </si>
  <si>
    <t xml:space="preserve">GD2007-01 LASER 1.dwg</t>
  </si>
  <si>
    <t xml:space="preserve">2020-05-02</t>
  </si>
  <si>
    <t xml:space="preserve">GD2007-01 LASER.dwg</t>
  </si>
  <si>
    <t xml:space="preserve">2020-04-21</t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</si>
  <si>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/GD2007-00 </t>
    </r>
    <r>
      <rPr>
        <sz val="9"/>
        <rFont val="Noto Sans CJK SC"/>
        <family val="2"/>
      </rPr>
      <t xml:space="preserve">동광제약</t>
    </r>
    <r>
      <rPr>
        <sz val="9"/>
        <rFont val="맑은 고딕"/>
        <family val="0"/>
        <charset val="1"/>
      </rPr>
      <t xml:space="preserve">/GD2007-01-00-</t>
    </r>
    <r>
      <rPr>
        <sz val="9"/>
        <rFont val="Noto Sans CJK SC"/>
        <family val="2"/>
      </rPr>
      <t xml:space="preserve">압력텡크</t>
    </r>
    <r>
      <rPr>
        <sz val="9"/>
        <rFont val="맑은 고딕"/>
        <family val="0"/>
        <charset val="1"/>
      </rPr>
      <t xml:space="preserve">(70L)</t>
    </r>
  </si>
  <si>
    <r>
      <rPr>
        <sz val="9"/>
        <rFont val="맑은 고딕"/>
        <family val="0"/>
        <charset val="1"/>
      </rPr>
      <t xml:space="preserve">GD2007-01 </t>
    </r>
    <r>
      <rPr>
        <sz val="9"/>
        <rFont val="Noto Sans CJK SC"/>
        <family val="2"/>
      </rPr>
      <t xml:space="preserve">압력용기 </t>
    </r>
    <r>
      <rPr>
        <sz val="9"/>
        <rFont val="맑은 고딕"/>
        <family val="0"/>
        <charset val="1"/>
      </rPr>
      <t xml:space="preserve">70L.dwg</t>
    </r>
  </si>
  <si>
    <t xml:space="preserve">2020-06-24</t>
  </si>
  <si>
    <r>
      <rPr>
        <sz val="9"/>
        <rFont val="맑은 고딕"/>
        <family val="0"/>
        <charset val="1"/>
      </rPr>
      <t xml:space="preserve">GD2007-01 </t>
    </r>
    <r>
      <rPr>
        <sz val="9"/>
        <rFont val="Noto Sans CJK SC"/>
        <family val="2"/>
      </rPr>
      <t xml:space="preserve">압력용기 </t>
    </r>
    <r>
      <rPr>
        <sz val="9"/>
        <rFont val="맑은 고딕"/>
        <family val="0"/>
        <charset val="1"/>
      </rPr>
      <t xml:space="preserve">a.dwg</t>
    </r>
  </si>
  <si>
    <t xml:space="preserve">2020-06-08</t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</si>
  <si>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/GD2007-00 </t>
    </r>
    <r>
      <rPr>
        <sz val="9"/>
        <rFont val="Noto Sans CJK SC"/>
        <family val="2"/>
      </rPr>
      <t xml:space="preserve">동광제약</t>
    </r>
    <r>
      <rPr>
        <sz val="9"/>
        <rFont val="맑은 고딕"/>
        <family val="0"/>
        <charset val="1"/>
      </rPr>
      <t xml:space="preserve">/GD2007-01-00-</t>
    </r>
    <r>
      <rPr>
        <sz val="9"/>
        <rFont val="Noto Sans CJK SC"/>
        <family val="2"/>
      </rPr>
      <t xml:space="preserve">압력텡크</t>
    </r>
    <r>
      <rPr>
        <sz val="9"/>
        <rFont val="맑은 고딕"/>
        <family val="0"/>
        <charset val="1"/>
      </rPr>
      <t xml:space="preserve">(70L) </t>
    </r>
    <r>
      <rPr>
        <sz val="9"/>
        <rFont val="Noto Sans CJK SC"/>
        <family val="2"/>
      </rPr>
      <t xml:space="preserve">추가작업</t>
    </r>
  </si>
  <si>
    <r>
      <rPr>
        <sz val="9"/>
        <rFont val="맑은 고딕"/>
        <family val="0"/>
        <charset val="1"/>
      </rPr>
      <t xml:space="preserve">GD2007-01 </t>
    </r>
    <r>
      <rPr>
        <sz val="9"/>
        <rFont val="Noto Sans CJK SC"/>
        <family val="2"/>
      </rPr>
      <t xml:space="preserve">압력용기 </t>
    </r>
    <r>
      <rPr>
        <sz val="9"/>
        <rFont val="맑은 고딕"/>
        <family val="0"/>
        <charset val="1"/>
      </rPr>
      <t xml:space="preserve">70L-</t>
    </r>
    <r>
      <rPr>
        <sz val="9"/>
        <rFont val="Noto Sans CJK SC"/>
        <family val="2"/>
      </rPr>
      <t xml:space="preserve">추가</t>
    </r>
    <r>
      <rPr>
        <sz val="9"/>
        <rFont val="맑은 고딕"/>
        <family val="0"/>
        <charset val="1"/>
      </rPr>
      <t xml:space="preserve">.dwg</t>
    </r>
  </si>
  <si>
    <t xml:space="preserve">2020-10-26</t>
  </si>
  <si>
    <r>
      <rPr>
        <sz val="9"/>
        <rFont val="맑은 고딕"/>
        <family val="0"/>
        <charset val="1"/>
      </rPr>
      <t xml:space="preserve">GD2007-01 </t>
    </r>
    <r>
      <rPr>
        <sz val="9"/>
        <rFont val="Noto Sans CJK SC"/>
        <family val="2"/>
      </rPr>
      <t xml:space="preserve">압력용기 </t>
    </r>
    <r>
      <rPr>
        <sz val="9"/>
        <rFont val="맑은 고딕"/>
        <family val="0"/>
        <charset val="1"/>
      </rPr>
      <t xml:space="preserve">70L-</t>
    </r>
    <r>
      <rPr>
        <sz val="9"/>
        <rFont val="Noto Sans CJK SC"/>
        <family val="2"/>
      </rPr>
      <t xml:space="preserve">추가</t>
    </r>
    <r>
      <rPr>
        <sz val="9"/>
        <rFont val="맑은 고딕"/>
        <family val="0"/>
        <charset val="1"/>
      </rPr>
      <t xml:space="preserve">A.dwg</t>
    </r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</si>
  <si>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/GD2007-00 </t>
    </r>
    <r>
      <rPr>
        <sz val="9"/>
        <rFont val="Noto Sans CJK SC"/>
        <family val="2"/>
      </rPr>
      <t xml:space="preserve">동광제약</t>
    </r>
    <r>
      <rPr>
        <sz val="9"/>
        <rFont val="맑은 고딕"/>
        <family val="0"/>
        <charset val="1"/>
      </rPr>
      <t xml:space="preserve">/GD2007-02-00 </t>
    </r>
    <r>
      <rPr>
        <sz val="9"/>
        <rFont val="Noto Sans CJK SC"/>
        <family val="2"/>
      </rPr>
      <t xml:space="preserve">압력용기</t>
    </r>
    <r>
      <rPr>
        <sz val="9"/>
        <rFont val="맑은 고딕"/>
        <family val="0"/>
        <charset val="1"/>
      </rPr>
      <t xml:space="preserve">(30L)</t>
    </r>
  </si>
  <si>
    <r>
      <rPr>
        <sz val="9"/>
        <rFont val="맑은 고딕"/>
        <family val="0"/>
        <charset val="1"/>
      </rPr>
      <t xml:space="preserve">GD2011-00 </t>
    </r>
    <r>
      <rPr>
        <sz val="9"/>
        <rFont val="Noto Sans CJK SC"/>
        <family val="2"/>
      </rPr>
      <t xml:space="preserve">엔에프테크</t>
    </r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</si>
  <si>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/GD2011-00 </t>
    </r>
    <r>
      <rPr>
        <sz val="9"/>
        <rFont val="Noto Sans CJK SC"/>
        <family val="2"/>
      </rPr>
      <t xml:space="preserve">엔에프테크</t>
    </r>
  </si>
  <si>
    <t xml:space="preserve">ESS-SP-01-7-R1-category-2.dwg</t>
  </si>
  <si>
    <t xml:space="preserve">2020-07-01</t>
  </si>
  <si>
    <t xml:space="preserve">ESS-SP-01-7-R1-category-3.dwg</t>
  </si>
  <si>
    <t xml:space="preserve">2020-07-04</t>
  </si>
  <si>
    <t xml:space="preserve">NF2-1610-SPIN-PACK-01.dwg</t>
  </si>
  <si>
    <t xml:space="preserve">2020-08-08</t>
  </si>
  <si>
    <t xml:space="preserve">NF2-1610-SPIN-PACK-02.dwg</t>
  </si>
  <si>
    <t xml:space="preserve">2020-08-31</t>
  </si>
  <si>
    <t xml:space="preserve">NF2-1610-SPIN-PACK-4.dwg</t>
  </si>
  <si>
    <t xml:space="preserve">2020-07-29</t>
  </si>
  <si>
    <t xml:space="preserve">NF2-1610-SPIN-PACK.dwg</t>
  </si>
  <si>
    <t xml:space="preserve">2020-07-07</t>
  </si>
  <si>
    <r>
      <rPr>
        <sz val="9"/>
        <rFont val="맑은 고딕"/>
        <family val="0"/>
        <charset val="1"/>
      </rPr>
      <t xml:space="preserve">GD2011-00 </t>
    </r>
    <r>
      <rPr>
        <sz val="9"/>
        <rFont val="Noto Sans CJK SC"/>
        <family val="2"/>
      </rPr>
      <t xml:space="preserve">엔에프테크 조범주</t>
    </r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</si>
  <si>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/GD2011-00 </t>
    </r>
    <r>
      <rPr>
        <sz val="9"/>
        <rFont val="Noto Sans CJK SC"/>
        <family val="2"/>
      </rPr>
      <t xml:space="preserve">엔에프테크 조범주</t>
    </r>
    <r>
      <rPr>
        <sz val="9"/>
        <rFont val="맑은 고딕"/>
        <family val="0"/>
        <charset val="1"/>
      </rPr>
      <t xml:space="preserve">/GD2011-01-01-ELTRO. NIZZLE</t>
    </r>
  </si>
  <si>
    <t xml:space="preserve">NF2-1610-SPIN-PACK-03.dwg</t>
  </si>
  <si>
    <t xml:space="preserve">2020-10-30</t>
  </si>
  <si>
    <t xml:space="preserve">NF2-1610-SPIN-PACK-05.dwg</t>
  </si>
  <si>
    <t xml:space="preserve">2020-11-21</t>
  </si>
  <si>
    <t xml:space="preserve">NF2-1610-SPIN-PACK-06.dwg</t>
  </si>
  <si>
    <t xml:space="preserve">2020-11-24</t>
  </si>
  <si>
    <t xml:space="preserve">NF2-1610-SPIN-PACK-06A.dwg</t>
  </si>
  <si>
    <t xml:space="preserve">2021-02-16</t>
  </si>
  <si>
    <t xml:space="preserve">NF2-1610-SPIN-PACK-07.dwg</t>
  </si>
  <si>
    <t xml:space="preserve">2021-02-15</t>
  </si>
  <si>
    <r>
      <rPr>
        <sz val="9"/>
        <rFont val="맑은 고딕"/>
        <family val="0"/>
        <charset val="1"/>
      </rPr>
      <t xml:space="preserve">GD2012-00 </t>
    </r>
    <r>
      <rPr>
        <sz val="9"/>
        <rFont val="Noto Sans CJK SC"/>
        <family val="2"/>
      </rPr>
      <t xml:space="preserve">대호테크</t>
    </r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</si>
  <si>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/GD2012-00 </t>
    </r>
    <r>
      <rPr>
        <sz val="9"/>
        <rFont val="Noto Sans CJK SC"/>
        <family val="2"/>
      </rPr>
      <t xml:space="preserve">대호테크</t>
    </r>
  </si>
  <si>
    <r>
      <rPr>
        <sz val="9"/>
        <rFont val="Noto Sans CJK SC"/>
        <family val="2"/>
      </rPr>
      <t xml:space="preserve">수축부도면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원본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</si>
  <si>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GD160803-</t>
    </r>
    <r>
      <rPr>
        <sz val="9"/>
        <rFont val="Noto Sans CJK SC"/>
        <family val="2"/>
      </rPr>
      <t xml:space="preserve">누체필터</t>
    </r>
    <r>
      <rPr>
        <sz val="9"/>
        <rFont val="맑은 고딕"/>
        <family val="0"/>
        <charset val="1"/>
      </rPr>
      <t xml:space="preserve">10L</t>
    </r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</si>
  <si>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/GD160803-</t>
    </r>
    <r>
      <rPr>
        <sz val="9"/>
        <rFont val="Noto Sans CJK SC"/>
        <family val="2"/>
      </rPr>
      <t xml:space="preserve">누체필터</t>
    </r>
    <r>
      <rPr>
        <sz val="9"/>
        <rFont val="맑은 고딕"/>
        <family val="0"/>
        <charset val="1"/>
      </rPr>
      <t xml:space="preserve">10L</t>
    </r>
  </si>
  <si>
    <t xml:space="preserve">10LT FILTER.dwg</t>
  </si>
  <si>
    <t xml:space="preserve">2016-10-14</t>
  </si>
  <si>
    <t xml:space="preserve">10lt nutsche filter-160907.dwg</t>
  </si>
  <si>
    <t xml:space="preserve">2016-10-06</t>
  </si>
  <si>
    <t xml:space="preserve">GD160803-01-00.dwg</t>
  </si>
  <si>
    <t xml:space="preserve">2016-10-19</t>
  </si>
  <si>
    <t xml:space="preserve">GD160803-01-00A.dwg</t>
  </si>
  <si>
    <t xml:space="preserve">GD160803-01-00B.dwg</t>
  </si>
  <si>
    <t xml:space="preserve">2016-10-24</t>
  </si>
  <si>
    <t xml:space="preserve">GD160803-01-00BB.dwg</t>
  </si>
  <si>
    <t xml:space="preserve">GD160803-01-00BC.dwg</t>
  </si>
  <si>
    <t xml:space="preserve">GD160803-01-01.dwg</t>
  </si>
  <si>
    <t xml:space="preserve">GD160803-01-02.dwg</t>
  </si>
  <si>
    <t xml:space="preserve">2016-10-28</t>
  </si>
  <si>
    <t xml:space="preserve">GD160803-LASER-1.dwg</t>
  </si>
  <si>
    <t xml:space="preserve">GD160803-LASER.dwg</t>
  </si>
  <si>
    <t xml:space="preserve">GD160803-LASER1.dwg</t>
  </si>
  <si>
    <t xml:space="preserve">GD160803-nutsche filter-10L.dwg</t>
  </si>
  <si>
    <t xml:space="preserve">2016-10-12</t>
  </si>
  <si>
    <r>
      <rPr>
        <sz val="9"/>
        <rFont val="맑은 고딕"/>
        <family val="0"/>
        <charset val="1"/>
      </rPr>
      <t xml:space="preserve">GD160805-</t>
    </r>
    <r>
      <rPr>
        <sz val="9"/>
        <rFont val="Noto Sans CJK SC"/>
        <family val="2"/>
      </rPr>
      <t xml:space="preserve">누체필터</t>
    </r>
    <r>
      <rPr>
        <sz val="9"/>
        <rFont val="맑은 고딕"/>
        <family val="0"/>
        <charset val="1"/>
      </rPr>
      <t xml:space="preserve">50L</t>
    </r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</si>
  <si>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/GD160805-</t>
    </r>
    <r>
      <rPr>
        <sz val="9"/>
        <rFont val="Noto Sans CJK SC"/>
        <family val="2"/>
      </rPr>
      <t xml:space="preserve">누체필터</t>
    </r>
    <r>
      <rPr>
        <sz val="9"/>
        <rFont val="맑은 고딕"/>
        <family val="0"/>
        <charset val="1"/>
      </rPr>
      <t xml:space="preserve">50L</t>
    </r>
  </si>
  <si>
    <r>
      <rPr>
        <sz val="9"/>
        <rFont val="맑은 고딕"/>
        <family val="0"/>
        <charset val="1"/>
      </rPr>
      <t xml:space="preserve">GD160805-00-00 150L </t>
    </r>
    <r>
      <rPr>
        <sz val="9"/>
        <rFont val="Noto Sans CJK SC"/>
        <family val="2"/>
      </rPr>
      <t xml:space="preserve">누체필터</t>
    </r>
    <r>
      <rPr>
        <sz val="9"/>
        <rFont val="맑은 고딕"/>
        <family val="0"/>
        <charset val="1"/>
      </rPr>
      <t xml:space="preserve">.dwg</t>
    </r>
  </si>
  <si>
    <t xml:space="preserve">2024-07-16</t>
  </si>
  <si>
    <t xml:space="preserve">GD160805-00-00B.dwg</t>
  </si>
  <si>
    <t xml:space="preserve">2018-12-19</t>
  </si>
  <si>
    <t xml:space="preserve">GD160805-00-01-LASER.dwg</t>
  </si>
  <si>
    <t xml:space="preserve">2016-12-09</t>
  </si>
  <si>
    <t xml:space="preserve">GD160805-00-01-LASER2.dwg</t>
  </si>
  <si>
    <t xml:space="preserve">2016-12-14</t>
  </si>
  <si>
    <t xml:space="preserve">GD160805-00-01-LASER3.dwg</t>
  </si>
  <si>
    <t xml:space="preserve">2016-12-15</t>
  </si>
  <si>
    <t xml:space="preserve">GD160805-00-01-LASER4.dwg</t>
  </si>
  <si>
    <t xml:space="preserve">2016-12-19</t>
  </si>
  <si>
    <t xml:space="preserve">GD160805-00-01-LASER5.dwg</t>
  </si>
  <si>
    <t xml:space="preserve">2016-12-20</t>
  </si>
  <si>
    <t xml:space="preserve">GD160805-00-01-LASER6.dwg</t>
  </si>
  <si>
    <t xml:space="preserve">2016-12-30</t>
  </si>
  <si>
    <t xml:space="preserve">GD160805-00-01-LASER7.dwg</t>
  </si>
  <si>
    <t xml:space="preserve">2017-01-11</t>
  </si>
  <si>
    <t xml:space="preserve">GD160805-00-01-LASER8.dwg</t>
  </si>
  <si>
    <t xml:space="preserve">2017-02-28</t>
  </si>
  <si>
    <t xml:space="preserve">GD160805-00-01-PACKING.dwg</t>
  </si>
  <si>
    <r>
      <rPr>
        <sz val="9"/>
        <rFont val="맑은 고딕"/>
        <family val="0"/>
        <charset val="1"/>
      </rPr>
      <t xml:space="preserve">GD160805-00-01-</t>
    </r>
    <r>
      <rPr>
        <sz val="9"/>
        <rFont val="Noto Sans CJK SC"/>
        <family val="2"/>
      </rPr>
      <t xml:space="preserve">다공판</t>
    </r>
    <r>
      <rPr>
        <sz val="9"/>
        <rFont val="맑은 고딕"/>
        <family val="0"/>
        <charset val="1"/>
      </rPr>
      <t xml:space="preserve">.dwg</t>
    </r>
  </si>
  <si>
    <t xml:space="preserve">2016-11-29</t>
  </si>
  <si>
    <r>
      <rPr>
        <sz val="9"/>
        <rFont val="맑은 고딕"/>
        <family val="0"/>
        <charset val="1"/>
      </rPr>
      <t xml:space="preserve">GD160805-00-01-</t>
    </r>
    <r>
      <rPr>
        <sz val="9"/>
        <rFont val="Noto Sans CJK SC"/>
        <family val="2"/>
      </rPr>
      <t xml:space="preserve">웜기어</t>
    </r>
    <r>
      <rPr>
        <sz val="9"/>
        <rFont val="맑은 고딕"/>
        <family val="0"/>
        <charset val="1"/>
      </rPr>
      <t xml:space="preserve">.dwg</t>
    </r>
  </si>
  <si>
    <t xml:space="preserve">2016-11-28</t>
  </si>
  <si>
    <r>
      <rPr>
        <sz val="9"/>
        <rFont val="맑은 고딕"/>
        <family val="0"/>
        <charset val="1"/>
      </rPr>
      <t xml:space="preserve">GD160805-00-01-</t>
    </r>
    <r>
      <rPr>
        <sz val="9"/>
        <rFont val="Noto Sans CJK SC"/>
        <family val="2"/>
      </rPr>
      <t xml:space="preserve">웜기어</t>
    </r>
    <r>
      <rPr>
        <sz val="9"/>
        <rFont val="맑은 고딕"/>
        <family val="0"/>
        <charset val="1"/>
      </rPr>
      <t xml:space="preserve">A.dwg</t>
    </r>
  </si>
  <si>
    <t xml:space="preserve">2016-12-02</t>
  </si>
  <si>
    <t xml:space="preserve">GD160805-00-03-LASER.dwg</t>
  </si>
  <si>
    <t xml:space="preserve">2016-12-06</t>
  </si>
  <si>
    <t xml:space="preserve">GD160805-00-03-LASER1.dwg</t>
  </si>
  <si>
    <t xml:space="preserve">2016-12-07</t>
  </si>
  <si>
    <r>
      <rPr>
        <sz val="9"/>
        <rFont val="맑은 고딕"/>
        <family val="0"/>
        <charset val="1"/>
      </rPr>
      <t xml:space="preserve">GD160805-00-03-</t>
    </r>
    <r>
      <rPr>
        <sz val="9"/>
        <rFont val="Noto Sans CJK SC"/>
        <family val="2"/>
      </rPr>
      <t xml:space="preserve">가공</t>
    </r>
    <r>
      <rPr>
        <sz val="9"/>
        <rFont val="맑은 고딕"/>
        <family val="0"/>
        <charset val="1"/>
      </rPr>
      <t xml:space="preserve">.dwg</t>
    </r>
  </si>
  <si>
    <t xml:space="preserve">2017-05-17</t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</si>
  <si>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/GD2003-00 </t>
    </r>
    <r>
      <rPr>
        <sz val="9"/>
        <rFont val="Noto Sans CJK SC"/>
        <family val="2"/>
      </rPr>
      <t xml:space="preserve">웰이엔씨</t>
    </r>
    <r>
      <rPr>
        <sz val="9"/>
        <rFont val="맑은 고딕"/>
        <family val="0"/>
        <charset val="1"/>
      </rPr>
      <t xml:space="preserve">/GD2003-02-</t>
    </r>
    <r>
      <rPr>
        <sz val="9"/>
        <rFont val="Noto Sans CJK SC"/>
        <family val="2"/>
      </rPr>
      <t xml:space="preserve">에니젠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누체필터 </t>
    </r>
    <r>
      <rPr>
        <sz val="9"/>
        <rFont val="맑은 고딕"/>
        <family val="0"/>
        <charset val="1"/>
      </rPr>
      <t xml:space="preserve">100L</t>
    </r>
  </si>
  <si>
    <r>
      <rPr>
        <sz val="9"/>
        <rFont val="맑은 고딕"/>
        <family val="0"/>
        <charset val="1"/>
      </rPr>
      <t xml:space="preserve">100LT FILTER (</t>
    </r>
    <r>
      <rPr>
        <sz val="9"/>
        <rFont val="Noto Sans CJK SC"/>
        <family val="2"/>
      </rPr>
      <t xml:space="preserve">에니젠</t>
    </r>
    <r>
      <rPr>
        <sz val="9"/>
        <rFont val="맑은 고딕"/>
        <family val="0"/>
        <charset val="1"/>
      </rPr>
      <t xml:space="preserve">)0915.dwg</t>
    </r>
  </si>
  <si>
    <t xml:space="preserve">2020-09-15</t>
  </si>
  <si>
    <t xml:space="preserve">GD2003-02-00-100L-B.dwg</t>
  </si>
  <si>
    <t xml:space="preserve">GD2003-02-00-100L-BB.dwg</t>
  </si>
  <si>
    <t xml:space="preserve">GD2003-02-00-100L-C.dwg</t>
  </si>
  <si>
    <t xml:space="preserve">GD2003-02-00-100L-E.dwg</t>
  </si>
  <si>
    <t xml:space="preserve">2020-11-06</t>
  </si>
  <si>
    <t xml:space="preserve">GD2003-02-00-100L.dwg</t>
  </si>
  <si>
    <t xml:space="preserve">2020-09-11</t>
  </si>
  <si>
    <t xml:space="preserve">GD2003-02-02-100L-D.dwg</t>
  </si>
  <si>
    <t xml:space="preserve">2020-10-05</t>
  </si>
  <si>
    <t xml:space="preserve">GD2003-02-03-100L-D.dwg</t>
  </si>
  <si>
    <t xml:space="preserve">2020-10-06</t>
  </si>
  <si>
    <t xml:space="preserve">GD2003-02-03-100L-D.dxf</t>
  </si>
  <si>
    <t xml:space="preserve">.dxf</t>
  </si>
  <si>
    <r>
      <rPr>
        <sz val="9"/>
        <rFont val="맑은 고딕"/>
        <family val="0"/>
        <charset val="1"/>
      </rPr>
      <t xml:space="preserve">DXF(</t>
    </r>
    <r>
      <rPr>
        <sz val="9"/>
        <rFont val="Noto Sans CJK SC"/>
        <family val="2"/>
      </rPr>
      <t xml:space="preserve">바이너리</t>
    </r>
    <r>
      <rPr>
        <sz val="9"/>
        <rFont val="맑은 고딕"/>
        <family val="0"/>
        <charset val="1"/>
      </rPr>
      <t xml:space="preserve">)</t>
    </r>
  </si>
  <si>
    <t xml:space="preserve">GD2003-02-03a-100L-D.dwg</t>
  </si>
  <si>
    <t xml:space="preserve">2020-10-09</t>
  </si>
  <si>
    <t xml:space="preserve">GD2003-02-04-100L-D.dwg</t>
  </si>
  <si>
    <t xml:space="preserve">2020-10-07</t>
  </si>
  <si>
    <t xml:space="preserve">GD2003-02-04a-100L-D.dwg</t>
  </si>
  <si>
    <t xml:space="preserve">GD2003-02-05-100L-D.dwg</t>
  </si>
  <si>
    <r>
      <rPr>
        <sz val="9"/>
        <rFont val="맑은 고딕"/>
        <family val="0"/>
        <charset val="1"/>
      </rPr>
      <t xml:space="preserve">GD2005-04-04-00-</t>
    </r>
    <r>
      <rPr>
        <sz val="9"/>
        <rFont val="Noto Sans CJK SC"/>
        <family val="2"/>
      </rPr>
      <t xml:space="preserve">명판</t>
    </r>
    <r>
      <rPr>
        <sz val="9"/>
        <rFont val="맑은 고딕"/>
        <family val="0"/>
        <charset val="1"/>
      </rPr>
      <t xml:space="preserve">.dwg</t>
    </r>
  </si>
  <si>
    <t xml:space="preserve">2020-11-25</t>
  </si>
  <si>
    <r>
      <rPr>
        <sz val="9"/>
        <rFont val="Noto Sans CJK SC"/>
        <family val="2"/>
      </rPr>
      <t xml:space="preserve">애니젠 </t>
    </r>
    <r>
      <rPr>
        <sz val="9"/>
        <rFont val="맑은 고딕"/>
        <family val="0"/>
        <charset val="1"/>
      </rPr>
      <t xml:space="preserve">100LT FILTER-200831.dwg</t>
    </r>
  </si>
  <si>
    <t xml:space="preserve">AutoCAD 2004</t>
  </si>
  <si>
    <t xml:space="preserve">2020-09-04</t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</si>
  <si>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/GD2003-00 </t>
    </r>
    <r>
      <rPr>
        <sz val="9"/>
        <rFont val="Noto Sans CJK SC"/>
        <family val="2"/>
      </rPr>
      <t xml:space="preserve">웰이엔씨</t>
    </r>
    <r>
      <rPr>
        <sz val="9"/>
        <rFont val="맑은 고딕"/>
        <family val="0"/>
        <charset val="1"/>
      </rPr>
      <t xml:space="preserve">/GD2003-03-</t>
    </r>
    <r>
      <rPr>
        <sz val="9"/>
        <rFont val="Noto Sans CJK SC"/>
        <family val="2"/>
      </rPr>
      <t xml:space="preserve">비나텍 누체필터 </t>
    </r>
    <r>
      <rPr>
        <sz val="9"/>
        <rFont val="맑은 고딕"/>
        <family val="0"/>
        <charset val="1"/>
      </rPr>
      <t xml:space="preserve">40L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</si>
  <si>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40L-1123-02.dwg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</si>
  <si>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40L-1123-02A.dwg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</si>
  <si>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40L-1123-02B.dwg</t>
    </r>
  </si>
  <si>
    <t xml:space="preserve">2020-12-03</t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</si>
  <si>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40L-1123-02C.dwg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</si>
  <si>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40L-1123.dwg</t>
    </r>
  </si>
  <si>
    <t xml:space="preserve">2020-11-23</t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</si>
  <si>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40L-A.dwg</t>
    </r>
  </si>
  <si>
    <t xml:space="preserve">2020-11-16</t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</si>
  <si>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40L-B.dwg</t>
    </r>
  </si>
  <si>
    <t xml:space="preserve">2020-12-14</t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</si>
  <si>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40L-L.dwg</t>
    </r>
  </si>
  <si>
    <t xml:space="preserve">2020-11-14</t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</si>
  <si>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40L-M.dwg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</si>
  <si>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40L-M.dxf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</si>
  <si>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40L-WL.dwg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</si>
  <si>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</t>
    </r>
    <r>
      <rPr>
        <sz val="9"/>
        <rFont val="Noto Sans CJK SC"/>
        <family val="2"/>
      </rPr>
      <t xml:space="preserve">경판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</si>
  <si>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</t>
    </r>
    <r>
      <rPr>
        <sz val="9"/>
        <rFont val="Noto Sans CJK SC"/>
        <family val="2"/>
      </rPr>
      <t xml:space="preserve">다공판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</si>
  <si>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</t>
    </r>
    <r>
      <rPr>
        <sz val="9"/>
        <rFont val="Noto Sans CJK SC"/>
        <family val="2"/>
      </rPr>
      <t xml:space="preserve">투시창</t>
    </r>
    <r>
      <rPr>
        <sz val="9"/>
        <rFont val="맑은 고딕"/>
        <family val="0"/>
        <charset val="1"/>
      </rPr>
      <t xml:space="preserve">.dwg</t>
    </r>
  </si>
  <si>
    <t xml:space="preserve">2020-11-19</t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</si>
  <si>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</t>
    </r>
    <r>
      <rPr>
        <sz val="9"/>
        <rFont val="Noto Sans CJK SC"/>
        <family val="2"/>
      </rPr>
      <t xml:space="preserve">투시창</t>
    </r>
    <r>
      <rPr>
        <sz val="9"/>
        <rFont val="맑은 고딕"/>
        <family val="0"/>
        <charset val="1"/>
      </rPr>
      <t xml:space="preserve">L.dwg</t>
    </r>
  </si>
  <si>
    <t xml:space="preserve">2020-11-18</t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</si>
  <si>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</t>
    </r>
    <r>
      <rPr>
        <sz val="9"/>
        <rFont val="Noto Sans CJK SC"/>
        <family val="2"/>
      </rPr>
      <t xml:space="preserve">투시창</t>
    </r>
    <r>
      <rPr>
        <sz val="9"/>
        <rFont val="맑은 고딕"/>
        <family val="0"/>
        <charset val="1"/>
      </rPr>
      <t xml:space="preserve">LT.dwg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</si>
  <si>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40L.dwg</t>
    </r>
  </si>
  <si>
    <t xml:space="preserve">2020-10-21</t>
  </si>
  <si>
    <r>
      <rPr>
        <sz val="9"/>
        <rFont val="맑은 고딕"/>
        <family val="0"/>
        <charset val="1"/>
      </rPr>
      <t xml:space="preserve">WE-MU-20-0079 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20Lt 40Lt Hastelloy Reactor </t>
    </r>
    <r>
      <rPr>
        <sz val="9"/>
        <rFont val="Noto Sans CJK SC"/>
        <family val="2"/>
      </rPr>
      <t xml:space="preserve">제작도면</t>
    </r>
    <r>
      <rPr>
        <sz val="9"/>
        <rFont val="맑은 고딕"/>
        <family val="0"/>
        <charset val="1"/>
      </rPr>
      <t xml:space="preserve">-V1.0-201110.dwg</t>
    </r>
  </si>
  <si>
    <r>
      <rPr>
        <sz val="9"/>
        <rFont val="맑은 고딕"/>
        <family val="0"/>
        <charset val="1"/>
      </rPr>
      <t xml:space="preserve">WE-MU-20-0079 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40LT NUTSCHE FILTER (</t>
    </r>
    <r>
      <rPr>
        <sz val="9"/>
        <rFont val="Noto Sans CJK SC"/>
        <family val="2"/>
      </rPr>
      <t xml:space="preserve">경동글로벌텍 </t>
    </r>
    <r>
      <rPr>
        <sz val="9"/>
        <rFont val="맑은 고딕"/>
        <family val="0"/>
        <charset val="1"/>
      </rPr>
      <t xml:space="preserve">GD2003-03)-201021 (1).dwg</t>
    </r>
  </si>
  <si>
    <t xml:space="preserve">2020-10-22</t>
  </si>
  <si>
    <r>
      <rPr>
        <sz val="9"/>
        <rFont val="맑은 고딕"/>
        <family val="0"/>
        <charset val="1"/>
      </rPr>
      <t xml:space="preserve">WE-MU-20-0079 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40LT NUTSCHE FILTER (</t>
    </r>
    <r>
      <rPr>
        <sz val="9"/>
        <rFont val="Noto Sans CJK SC"/>
        <family val="2"/>
      </rPr>
      <t xml:space="preserve">경동글로벌텍 </t>
    </r>
    <r>
      <rPr>
        <sz val="9"/>
        <rFont val="맑은 고딕"/>
        <family val="0"/>
        <charset val="1"/>
      </rPr>
      <t xml:space="preserve">GD2003-03)-201021.dwg</t>
    </r>
  </si>
  <si>
    <t xml:space="preserve">2020-10-29</t>
  </si>
  <si>
    <r>
      <rPr>
        <sz val="9"/>
        <rFont val="맑은 고딕"/>
        <family val="0"/>
        <charset val="1"/>
      </rPr>
      <t xml:space="preserve">WE-MU-20-0079 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40LT-GD2003-03)-201021.dwg</t>
    </r>
  </si>
  <si>
    <r>
      <rPr>
        <sz val="9"/>
        <rFont val="맑은 고딕"/>
        <family val="0"/>
        <charset val="1"/>
      </rPr>
      <t xml:space="preserve">WE-MU-20-0079 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40Lt nutsche agitator filter-201015.dwg</t>
    </r>
  </si>
  <si>
    <t xml:space="preserve">2020-10-16</t>
  </si>
  <si>
    <r>
      <rPr>
        <sz val="9"/>
        <rFont val="맑은 고딕"/>
        <family val="0"/>
        <charset val="1"/>
      </rPr>
      <t xml:space="preserve">19 </t>
    </r>
    <r>
      <rPr>
        <sz val="9"/>
        <rFont val="Noto Sans CJK SC"/>
        <family val="2"/>
      </rPr>
      <t xml:space="preserve">경동도면함</t>
    </r>
  </si>
  <si>
    <r>
      <rPr>
        <sz val="9"/>
        <rFont val="Noto Sans CJK SC"/>
        <family val="2"/>
      </rPr>
      <t xml:space="preserve">리시버 </t>
    </r>
    <r>
      <rPr>
        <sz val="9"/>
        <rFont val="맑은 고딕"/>
        <family val="0"/>
        <charset val="1"/>
      </rPr>
      <t xml:space="preserve">ST-01-00.dwg</t>
    </r>
  </si>
  <si>
    <t xml:space="preserve">2019-02-21</t>
  </si>
  <si>
    <r>
      <rPr>
        <sz val="9"/>
        <rFont val="맑은 고딕"/>
        <family val="0"/>
        <charset val="1"/>
      </rPr>
      <t xml:space="preserve">GD1706-</t>
    </r>
    <r>
      <rPr>
        <sz val="9"/>
        <rFont val="Noto Sans CJK SC"/>
        <family val="2"/>
      </rPr>
      <t xml:space="preserve">웰이엔시</t>
    </r>
  </si>
  <si>
    <r>
      <rPr>
        <sz val="9"/>
        <rFont val="맑은 고딕"/>
        <family val="0"/>
        <charset val="1"/>
      </rPr>
      <t xml:space="preserve">17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/GD1706-</t>
    </r>
    <r>
      <rPr>
        <sz val="9"/>
        <rFont val="Noto Sans CJK SC"/>
        <family val="2"/>
      </rPr>
      <t xml:space="preserve">웰이엔시</t>
    </r>
    <r>
      <rPr>
        <sz val="9"/>
        <rFont val="맑은 고딕"/>
        <family val="0"/>
        <charset val="1"/>
      </rPr>
      <t xml:space="preserve">/GD170602-</t>
    </r>
    <r>
      <rPr>
        <sz val="9"/>
        <rFont val="Noto Sans CJK SC"/>
        <family val="2"/>
      </rPr>
      <t xml:space="preserve">리시버탱크</t>
    </r>
  </si>
  <si>
    <r>
      <rPr>
        <sz val="9"/>
        <rFont val="Noto Sans CJK SC"/>
        <family val="2"/>
      </rPr>
      <t xml:space="preserve">한농화성 </t>
    </r>
    <r>
      <rPr>
        <sz val="9"/>
        <rFont val="맑은 고딕"/>
        <family val="0"/>
        <charset val="1"/>
      </rPr>
      <t xml:space="preserve">Receiver 50 - </t>
    </r>
    <r>
      <rPr>
        <sz val="9"/>
        <rFont val="Noto Sans CJK SC"/>
        <family val="2"/>
      </rPr>
      <t xml:space="preserve">경동글로벌텍</t>
    </r>
    <r>
      <rPr>
        <sz val="9"/>
        <rFont val="맑은 고딕"/>
        <family val="0"/>
        <charset val="1"/>
      </rPr>
      <t xml:space="preserve">.dwg</t>
    </r>
  </si>
  <si>
    <t xml:space="preserve">2017-11-14</t>
  </si>
  <si>
    <r>
      <rPr>
        <sz val="9"/>
        <rFont val="맑은 고딕"/>
        <family val="0"/>
        <charset val="1"/>
      </rPr>
      <t xml:space="preserve">GD1904-</t>
    </r>
    <r>
      <rPr>
        <sz val="9"/>
        <rFont val="Noto Sans CJK SC"/>
        <family val="2"/>
      </rPr>
      <t xml:space="preserve">웰이엔씨</t>
    </r>
  </si>
  <si>
    <r>
      <rPr>
        <sz val="9"/>
        <rFont val="맑은 고딕"/>
        <family val="0"/>
        <charset val="1"/>
      </rPr>
      <t xml:space="preserve">19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/GD1904-</t>
    </r>
    <r>
      <rPr>
        <sz val="9"/>
        <rFont val="Noto Sans CJK SC"/>
        <family val="2"/>
      </rPr>
      <t xml:space="preserve">웰이엔씨</t>
    </r>
    <r>
      <rPr>
        <sz val="9"/>
        <rFont val="맑은 고딕"/>
        <family val="0"/>
        <charset val="1"/>
      </rPr>
      <t xml:space="preserve">/GD1904-00-01-</t>
    </r>
    <r>
      <rPr>
        <sz val="9"/>
        <rFont val="Noto Sans CJK SC"/>
        <family val="2"/>
      </rPr>
      <t xml:space="preserve">리시버탱크</t>
    </r>
  </si>
  <si>
    <r>
      <rPr>
        <sz val="9"/>
        <rFont val="맑은 고딕"/>
        <family val="0"/>
        <charset val="1"/>
      </rPr>
      <t xml:space="preserve">GD1904-01V-00 </t>
    </r>
    <r>
      <rPr>
        <sz val="9"/>
        <rFont val="Noto Sans CJK SC"/>
        <family val="2"/>
      </rPr>
      <t xml:space="preserve">리시버탱크 레이저</t>
    </r>
    <r>
      <rPr>
        <sz val="9"/>
        <rFont val="맑은 고딕"/>
        <family val="0"/>
        <charset val="1"/>
      </rPr>
      <t xml:space="preserve">.dwg</t>
    </r>
  </si>
  <si>
    <t xml:space="preserve">2019-06-28</t>
  </si>
  <si>
    <r>
      <rPr>
        <sz val="9"/>
        <rFont val="맑은 고딕"/>
        <family val="0"/>
        <charset val="1"/>
      </rPr>
      <t xml:space="preserve">GD1904-01V-00 </t>
    </r>
    <r>
      <rPr>
        <sz val="9"/>
        <rFont val="Noto Sans CJK SC"/>
        <family val="2"/>
      </rPr>
      <t xml:space="preserve">리시버탱크 명판브리켓</t>
    </r>
    <r>
      <rPr>
        <sz val="9"/>
        <rFont val="맑은 고딕"/>
        <family val="0"/>
        <charset val="1"/>
      </rPr>
      <t xml:space="preserve">.dwg</t>
    </r>
  </si>
  <si>
    <t xml:space="preserve">2019-07-12</t>
  </si>
  <si>
    <r>
      <rPr>
        <sz val="9"/>
        <rFont val="맑은 고딕"/>
        <family val="0"/>
        <charset val="1"/>
      </rPr>
      <t xml:space="preserve">GD1904-01V-00 </t>
    </r>
    <r>
      <rPr>
        <sz val="9"/>
        <rFont val="Noto Sans CJK SC"/>
        <family val="2"/>
      </rPr>
      <t xml:space="preserve">리시버탱크 물 빋침대</t>
    </r>
    <r>
      <rPr>
        <sz val="9"/>
        <rFont val="맑은 고딕"/>
        <family val="0"/>
        <charset val="1"/>
      </rPr>
      <t xml:space="preserve">.dwg</t>
    </r>
  </si>
  <si>
    <t xml:space="preserve">SJ1904-01V-RECEIVER TANK 0.5MA.dwg</t>
  </si>
  <si>
    <t xml:space="preserve">2019-05-07</t>
  </si>
  <si>
    <t xml:space="preserve">SJ1904-01V-RECEIVER TANK 0.5MB.dwg</t>
  </si>
  <si>
    <t xml:space="preserve">2019-05-29</t>
  </si>
  <si>
    <t xml:space="preserve">SJ1904-01V-RECEIVER TANK 0.5MC.dwg</t>
  </si>
  <si>
    <t xml:space="preserve">2019-05-17</t>
  </si>
  <si>
    <t xml:space="preserve">SJ1904-02H-RECEIVER TANK 20L.dwg</t>
  </si>
  <si>
    <t xml:space="preserve">WEC-KISCO-TN7200-20190510.dwg</t>
  </si>
  <si>
    <t xml:space="preserve">2019-05-21</t>
  </si>
  <si>
    <t xml:space="preserve">WEC-KISCO-TN7200-20190510A.dwg</t>
  </si>
  <si>
    <t xml:space="preserve">WEC-KISCO-TN7200-20190510B.dwg</t>
  </si>
  <si>
    <t xml:space="preserve">WEC-KISCO-TN7200-20190510C.dwg</t>
  </si>
  <si>
    <t xml:space="preserve">WEC-KISCO-TN7200-20190510D.dwg</t>
  </si>
  <si>
    <t xml:space="preserve">WEC-KISCO-TN7200-20190510E.dwg</t>
  </si>
  <si>
    <t xml:space="preserve">WEC-KISCO-TN7210-20190508.dwg</t>
  </si>
  <si>
    <t xml:space="preserve">2019-05-15</t>
  </si>
  <si>
    <r>
      <rPr>
        <sz val="9"/>
        <rFont val="Noto Sans CJK SC"/>
        <family val="2"/>
      </rPr>
      <t xml:space="preserve">레벨 가이드</t>
    </r>
    <r>
      <rPr>
        <sz val="9"/>
        <rFont val="맑은 고딕"/>
        <family val="0"/>
        <charset val="1"/>
      </rPr>
      <t xml:space="preserve">.dwg</t>
    </r>
  </si>
  <si>
    <t xml:space="preserve">2019-07-19</t>
  </si>
  <si>
    <r>
      <rPr>
        <sz val="9"/>
        <rFont val="Noto Sans CJK SC"/>
        <family val="2"/>
      </rPr>
      <t xml:space="preserve">레벨 가이드</t>
    </r>
    <r>
      <rPr>
        <sz val="9"/>
        <rFont val="맑은 고딕"/>
        <family val="0"/>
        <charset val="1"/>
      </rPr>
      <t xml:space="preserve">2.dwg</t>
    </r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</si>
  <si>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/GD2005-00 </t>
    </r>
    <r>
      <rPr>
        <sz val="9"/>
        <rFont val="Noto Sans CJK SC"/>
        <family val="2"/>
      </rPr>
      <t xml:space="preserve">한모루</t>
    </r>
    <r>
      <rPr>
        <sz val="9"/>
        <rFont val="맑은 고딕"/>
        <family val="0"/>
        <charset val="1"/>
      </rPr>
      <t xml:space="preserve">/GD2005-04-00 </t>
    </r>
    <r>
      <rPr>
        <sz val="9"/>
        <rFont val="Noto Sans CJK SC"/>
        <family val="2"/>
      </rPr>
      <t xml:space="preserve">진공리본믹서</t>
    </r>
  </si>
  <si>
    <t xml:space="preserve">GD2005-04-01-00B.dwg</t>
  </si>
  <si>
    <t xml:space="preserve">2020-04-06</t>
  </si>
  <si>
    <t xml:space="preserve">GD2005-04-01-01A.dwg</t>
  </si>
  <si>
    <t xml:space="preserve">GD2005-04-02-00-FRAME COVER.dwg</t>
  </si>
  <si>
    <t xml:space="preserve">2020-04-27</t>
  </si>
  <si>
    <t xml:space="preserve">GD2005-04-02-00-FRAME LASER.dwg</t>
  </si>
  <si>
    <t xml:space="preserve">2020-04-02</t>
  </si>
  <si>
    <t xml:space="preserve">GD2005-04-02-00-FRAME LASER2.dwg</t>
  </si>
  <si>
    <t xml:space="preserve">2020-04-30</t>
  </si>
  <si>
    <r>
      <rPr>
        <sz val="9"/>
        <rFont val="맑은 고딕"/>
        <family val="0"/>
        <charset val="1"/>
      </rPr>
      <t xml:space="preserve">GD2005-04-02-00-</t>
    </r>
    <r>
      <rPr>
        <sz val="9"/>
        <rFont val="Noto Sans CJK SC"/>
        <family val="2"/>
      </rPr>
      <t xml:space="preserve">상부커버 </t>
    </r>
    <r>
      <rPr>
        <sz val="9"/>
        <rFont val="맑은 고딕"/>
        <family val="0"/>
        <charset val="1"/>
      </rPr>
      <t xml:space="preserve">LASER.dwg</t>
    </r>
  </si>
  <si>
    <t xml:space="preserve">2020-04-08</t>
  </si>
  <si>
    <r>
      <rPr>
        <sz val="9"/>
        <rFont val="맑은 고딕"/>
        <family val="0"/>
        <charset val="1"/>
      </rPr>
      <t xml:space="preserve">GD2005-04-02-00-</t>
    </r>
    <r>
      <rPr>
        <sz val="9"/>
        <rFont val="Noto Sans CJK SC"/>
        <family val="2"/>
      </rPr>
      <t xml:space="preserve">상부커버 </t>
    </r>
    <r>
      <rPr>
        <sz val="9"/>
        <rFont val="맑은 고딕"/>
        <family val="0"/>
        <charset val="1"/>
      </rPr>
      <t xml:space="preserve">LASER1.dwg</t>
    </r>
  </si>
  <si>
    <t xml:space="preserve">2020-04-09</t>
  </si>
  <si>
    <r>
      <rPr>
        <sz val="9"/>
        <rFont val="맑은 고딕"/>
        <family val="0"/>
        <charset val="1"/>
      </rPr>
      <t xml:space="preserve">GD2005-04-02-00-</t>
    </r>
    <r>
      <rPr>
        <sz val="9"/>
        <rFont val="Noto Sans CJK SC"/>
        <family val="2"/>
      </rPr>
      <t xml:space="preserve">상부커버 레이저</t>
    </r>
    <r>
      <rPr>
        <sz val="9"/>
        <rFont val="맑은 고딕"/>
        <family val="0"/>
        <charset val="1"/>
      </rPr>
      <t xml:space="preserve">2.dwg</t>
    </r>
  </si>
  <si>
    <r>
      <rPr>
        <sz val="9"/>
        <rFont val="맑은 고딕"/>
        <family val="0"/>
        <charset val="1"/>
      </rPr>
      <t xml:space="preserve">GD2005-04-02-00-</t>
    </r>
    <r>
      <rPr>
        <sz val="9"/>
        <rFont val="Noto Sans CJK SC"/>
        <family val="2"/>
      </rPr>
      <t xml:space="preserve">상부커버 지지대</t>
    </r>
    <r>
      <rPr>
        <sz val="9"/>
        <rFont val="맑은 고딕"/>
        <family val="0"/>
        <charset val="1"/>
      </rPr>
      <t xml:space="preserve">.dwg</t>
    </r>
  </si>
  <si>
    <t xml:space="preserve">2020-04-11</t>
  </si>
  <si>
    <t xml:space="preserve">GD2005-04-02-02-V-BELT PULLEY cover 2.dwg</t>
  </si>
  <si>
    <t xml:space="preserve">GD2005-04-02-02-V-BELT PULLEY cover.dwg</t>
  </si>
  <si>
    <t xml:space="preserve">GD2005-04-03-00-LOWER DAMPER 1.dwg</t>
  </si>
  <si>
    <t xml:space="preserve">2020-04-10</t>
  </si>
  <si>
    <t xml:space="preserve">GD2005-04-03-00-LOWER DAMPER 2.dwg</t>
  </si>
  <si>
    <t xml:space="preserve">GD2005-04-03-00-LOWER DAMPER 3.dwg</t>
  </si>
  <si>
    <t xml:space="preserve">GD2005-04-03-00-LOWER DAMPER 4.dwg</t>
  </si>
  <si>
    <t xml:space="preserve">2020-05-18</t>
  </si>
  <si>
    <r>
      <rPr>
        <sz val="9"/>
        <rFont val="맑은 고딕"/>
        <family val="0"/>
        <charset val="1"/>
      </rPr>
      <t xml:space="preserve">GD2005-04-03-00-</t>
    </r>
    <r>
      <rPr>
        <sz val="9"/>
        <rFont val="Noto Sans CJK SC"/>
        <family val="2"/>
      </rPr>
      <t xml:space="preserve">하부댐퍼 </t>
    </r>
    <r>
      <rPr>
        <sz val="9"/>
        <rFont val="맑은 고딕"/>
        <family val="0"/>
        <charset val="1"/>
      </rPr>
      <t xml:space="preserve">PLATE.dwg</t>
    </r>
  </si>
  <si>
    <t xml:space="preserve">2020-04-03</t>
  </si>
  <si>
    <r>
      <rPr>
        <sz val="9"/>
        <rFont val="맑은 고딕"/>
        <family val="0"/>
        <charset val="1"/>
      </rPr>
      <t xml:space="preserve">GD2005-04-03-00-</t>
    </r>
    <r>
      <rPr>
        <sz val="9"/>
        <rFont val="Noto Sans CJK SC"/>
        <family val="2"/>
      </rPr>
      <t xml:space="preserve">하부댐퍼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</si>
  <si>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GD2005-04-03-00-</t>
    </r>
    <r>
      <rPr>
        <sz val="9"/>
        <rFont val="Noto Sans CJK SC"/>
        <family val="2"/>
      </rPr>
      <t xml:space="preserve">하부댐퍼</t>
    </r>
    <r>
      <rPr>
        <sz val="9"/>
        <rFont val="맑은 고딕"/>
        <family val="0"/>
        <charset val="1"/>
      </rPr>
      <t xml:space="preserve">A.dwg</t>
    </r>
  </si>
  <si>
    <t xml:space="preserve">2020-05-15</t>
  </si>
  <si>
    <t xml:space="preserve">GD2005-04-03-01-LOWER DAMPER.dwg</t>
  </si>
  <si>
    <t xml:space="preserve">2020-05-16</t>
  </si>
  <si>
    <t xml:space="preserve">GD2005-04-03-02-LOWER DAMPER.dwg</t>
  </si>
  <si>
    <t xml:space="preserve">2020-05-22</t>
  </si>
  <si>
    <t xml:space="preserve">2020-05-12</t>
  </si>
  <si>
    <r>
      <rPr>
        <sz val="9"/>
        <rFont val="맑은 고딕"/>
        <family val="0"/>
        <charset val="1"/>
      </rPr>
      <t xml:space="preserve">GD2005-04-04-00-</t>
    </r>
    <r>
      <rPr>
        <sz val="9"/>
        <rFont val="Noto Sans CJK SC"/>
        <family val="2"/>
      </rPr>
      <t xml:space="preserve">상부 도어 힌지</t>
    </r>
    <r>
      <rPr>
        <sz val="9"/>
        <rFont val="맑은 고딕"/>
        <family val="0"/>
        <charset val="1"/>
      </rPr>
      <t xml:space="preserve">.dwg</t>
    </r>
  </si>
  <si>
    <t xml:space="preserve">2020-05-01</t>
  </si>
  <si>
    <r>
      <rPr>
        <sz val="9"/>
        <rFont val="맑은 고딕"/>
        <family val="0"/>
        <charset val="1"/>
      </rPr>
      <t xml:space="preserve">GD2005-04-04-00-</t>
    </r>
    <r>
      <rPr>
        <sz val="9"/>
        <rFont val="Noto Sans CJK SC"/>
        <family val="2"/>
      </rPr>
      <t xml:space="preserve">상부 도어 힌지판</t>
    </r>
    <r>
      <rPr>
        <sz val="9"/>
        <rFont val="맑은 고딕"/>
        <family val="0"/>
        <charset val="1"/>
      </rPr>
      <t xml:space="preserve">.dwg</t>
    </r>
  </si>
  <si>
    <t xml:space="preserve">2020-05-07</t>
  </si>
  <si>
    <r>
      <rPr>
        <sz val="9"/>
        <rFont val="맑은 고딕"/>
        <family val="0"/>
        <charset val="1"/>
      </rPr>
      <t xml:space="preserve">KK2001-03-00 </t>
    </r>
    <r>
      <rPr>
        <sz val="9"/>
        <rFont val="Noto Sans CJK SC"/>
        <family val="2"/>
      </rPr>
      <t xml:space="preserve">리본혼합기</t>
    </r>
    <r>
      <rPr>
        <sz val="9"/>
        <rFont val="맑은 고딕"/>
        <family val="0"/>
        <charset val="1"/>
      </rPr>
      <t xml:space="preserve">(200108).dwg</t>
    </r>
  </si>
  <si>
    <t xml:space="preserve">2020-01-09</t>
  </si>
  <si>
    <t xml:space="preserve">MAN HOLE 7022-300.dwg</t>
  </si>
  <si>
    <t xml:space="preserve">2020-03-28</t>
  </si>
  <si>
    <r>
      <rPr>
        <sz val="9"/>
        <rFont val="Noto Sans CJK SC"/>
        <family val="2"/>
      </rPr>
      <t xml:space="preserve">렌지 세정액 조제 탱크</t>
    </r>
    <r>
      <rPr>
        <sz val="9"/>
        <rFont val="맑은 고딕"/>
        <family val="0"/>
        <charset val="1"/>
      </rPr>
      <t xml:space="preserve">.dwg</t>
    </r>
  </si>
  <si>
    <t xml:space="preserve">2020-02-19</t>
  </si>
  <si>
    <r>
      <rPr>
        <sz val="9"/>
        <rFont val="Noto Sans CJK SC"/>
        <family val="2"/>
      </rPr>
      <t xml:space="preserve">렌지 세정액 조제 탱크</t>
    </r>
    <r>
      <rPr>
        <sz val="9"/>
        <rFont val="맑은 고딕"/>
        <family val="0"/>
        <charset val="1"/>
      </rPr>
      <t xml:space="preserve">A.dwg</t>
    </r>
  </si>
  <si>
    <r>
      <rPr>
        <sz val="9"/>
        <rFont val="Noto Sans CJK SC"/>
        <family val="2"/>
      </rPr>
      <t xml:space="preserve">리본 믹서 </t>
    </r>
    <r>
      <rPr>
        <sz val="9"/>
        <rFont val="맑은 고딕"/>
        <family val="0"/>
        <charset val="1"/>
      </rPr>
      <t xml:space="preserve">(3.1m3) </t>
    </r>
    <r>
      <rPr>
        <sz val="9"/>
        <rFont val="Noto Sans CJK SC"/>
        <family val="2"/>
      </rPr>
      <t xml:space="preserve">도면 </t>
    </r>
    <r>
      <rPr>
        <sz val="9"/>
        <rFont val="맑은 고딕"/>
        <family val="0"/>
        <charset val="1"/>
      </rPr>
      <t xml:space="preserve">(20170905).dwg</t>
    </r>
  </si>
  <si>
    <t xml:space="preserve">2019-12-18</t>
  </si>
  <si>
    <r>
      <rPr>
        <sz val="9"/>
        <rFont val="Noto Sans CJK SC"/>
        <family val="2"/>
      </rPr>
      <t xml:space="preserve">리본믹서용 감속기 </t>
    </r>
    <r>
      <rPr>
        <sz val="9"/>
        <rFont val="맑은 고딕"/>
        <family val="0"/>
        <charset val="1"/>
      </rPr>
      <t xml:space="preserve">MX155WB000NNB-001-R0.dxf</t>
    </r>
  </si>
  <si>
    <t xml:space="preserve">2020-02-06</t>
  </si>
  <si>
    <r>
      <rPr>
        <sz val="9"/>
        <rFont val="맑은 고딕"/>
        <family val="0"/>
        <charset val="1"/>
      </rPr>
      <t xml:space="preserve">GD160802-</t>
    </r>
    <r>
      <rPr>
        <sz val="9"/>
        <rFont val="Noto Sans CJK SC"/>
        <family val="2"/>
      </rPr>
      <t xml:space="preserve">반응기</t>
    </r>
    <r>
      <rPr>
        <sz val="9"/>
        <rFont val="맑은 고딕"/>
        <family val="0"/>
        <charset val="1"/>
      </rPr>
      <t xml:space="preserve">30L</t>
    </r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</si>
  <si>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/GD160802-</t>
    </r>
    <r>
      <rPr>
        <sz val="9"/>
        <rFont val="Noto Sans CJK SC"/>
        <family val="2"/>
      </rPr>
      <t xml:space="preserve">반응기</t>
    </r>
    <r>
      <rPr>
        <sz val="9"/>
        <rFont val="맑은 고딕"/>
        <family val="0"/>
        <charset val="1"/>
      </rPr>
      <t xml:space="preserve">30L</t>
    </r>
  </si>
  <si>
    <t xml:space="preserve">30LT JACKET VESSEL (SUS 316L).dwg</t>
  </si>
  <si>
    <t xml:space="preserve">BUFFLE.dwg</t>
  </si>
  <si>
    <t xml:space="preserve">2016-10-25</t>
  </si>
  <si>
    <r>
      <rPr>
        <sz val="9"/>
        <rFont val="맑은 고딕"/>
        <family val="0"/>
        <charset val="1"/>
      </rPr>
      <t xml:space="preserve">GD160802-01-00-</t>
    </r>
    <r>
      <rPr>
        <sz val="9"/>
        <rFont val="Noto Sans CJK SC"/>
        <family val="2"/>
      </rPr>
      <t xml:space="preserve">반응기</t>
    </r>
    <r>
      <rPr>
        <sz val="9"/>
        <rFont val="맑은 고딕"/>
        <family val="0"/>
        <charset val="1"/>
      </rPr>
      <t xml:space="preserve">30L.dwg</t>
    </r>
  </si>
  <si>
    <r>
      <rPr>
        <sz val="9"/>
        <rFont val="맑은 고딕"/>
        <family val="0"/>
        <charset val="1"/>
      </rPr>
      <t xml:space="preserve">GD160802-</t>
    </r>
    <r>
      <rPr>
        <sz val="9"/>
        <rFont val="Noto Sans CJK SC"/>
        <family val="2"/>
      </rPr>
      <t xml:space="preserve">반응기</t>
    </r>
    <r>
      <rPr>
        <sz val="9"/>
        <rFont val="맑은 고딕"/>
        <family val="0"/>
        <charset val="1"/>
      </rPr>
      <t xml:space="preserve">30L.dwg</t>
    </r>
  </si>
  <si>
    <r>
      <rPr>
        <sz val="9"/>
        <rFont val="맑은 고딕"/>
        <family val="0"/>
        <charset val="1"/>
      </rPr>
      <t xml:space="preserve">GD160802-</t>
    </r>
    <r>
      <rPr>
        <sz val="9"/>
        <rFont val="Noto Sans CJK SC"/>
        <family val="2"/>
      </rPr>
      <t xml:space="preserve">반응기</t>
    </r>
    <r>
      <rPr>
        <sz val="9"/>
        <rFont val="맑은 고딕"/>
        <family val="0"/>
        <charset val="1"/>
      </rPr>
      <t xml:space="preserve">30L1.dwg</t>
    </r>
  </si>
  <si>
    <t xml:space="preserve">2016-10-18</t>
  </si>
  <si>
    <r>
      <rPr>
        <sz val="9"/>
        <rFont val="맑은 고딕"/>
        <family val="0"/>
        <charset val="1"/>
      </rPr>
      <t xml:space="preserve">GD160802-</t>
    </r>
    <r>
      <rPr>
        <sz val="9"/>
        <rFont val="Noto Sans CJK SC"/>
        <family val="2"/>
      </rPr>
      <t xml:space="preserve">반응기</t>
    </r>
    <r>
      <rPr>
        <sz val="9"/>
        <rFont val="맑은 고딕"/>
        <family val="0"/>
        <charset val="1"/>
      </rPr>
      <t xml:space="preserve">30L_2.dwg</t>
    </r>
  </si>
  <si>
    <r>
      <rPr>
        <sz val="9"/>
        <rFont val="맑은 고딕"/>
        <family val="0"/>
        <charset val="1"/>
      </rPr>
      <t xml:space="preserve">19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/GD1904-</t>
    </r>
    <r>
      <rPr>
        <sz val="9"/>
        <rFont val="Noto Sans CJK SC"/>
        <family val="2"/>
      </rPr>
      <t xml:space="preserve">웰이엔씨</t>
    </r>
    <r>
      <rPr>
        <sz val="9"/>
        <rFont val="맑은 고딕"/>
        <family val="0"/>
        <charset val="1"/>
      </rPr>
      <t xml:space="preserve">/GD1904-00-02-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/R-3 </t>
    </r>
    <r>
      <rPr>
        <sz val="9"/>
        <rFont val="Noto Sans CJK SC"/>
        <family val="2"/>
      </rPr>
      <t xml:space="preserve">반응기 </t>
    </r>
    <r>
      <rPr>
        <sz val="9"/>
        <rFont val="맑은 고딕"/>
        <family val="0"/>
        <charset val="1"/>
      </rPr>
      <t xml:space="preserve">300LTS/</t>
    </r>
    <r>
      <rPr>
        <sz val="9"/>
        <rFont val="Noto Sans CJK SC"/>
        <family val="2"/>
      </rPr>
      <t xml:space="preserve">기계도면</t>
    </r>
  </si>
  <si>
    <t xml:space="preserve">RT03CD01A-NN130923.dwg</t>
  </si>
  <si>
    <t xml:space="preserve">판독불가</t>
  </si>
  <si>
    <t xml:space="preserve">2014-04-07</t>
  </si>
  <si>
    <t xml:space="preserve">RT03EQ01A-NN130923.dwg</t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</si>
  <si>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/GD2003-00 </t>
    </r>
    <r>
      <rPr>
        <sz val="9"/>
        <rFont val="Noto Sans CJK SC"/>
        <family val="2"/>
      </rPr>
      <t xml:space="preserve">웰이엔씨</t>
    </r>
    <r>
      <rPr>
        <sz val="9"/>
        <rFont val="맑은 고딕"/>
        <family val="0"/>
        <charset val="1"/>
      </rPr>
      <t xml:space="preserve">/GD2003-06-</t>
    </r>
    <r>
      <rPr>
        <sz val="9"/>
        <rFont val="Noto Sans CJK SC"/>
        <family val="2"/>
      </rPr>
      <t xml:space="preserve">고상반응기 </t>
    </r>
    <r>
      <rPr>
        <sz val="9"/>
        <rFont val="맑은 고딕"/>
        <family val="0"/>
        <charset val="1"/>
      </rPr>
      <t xml:space="preserve">30L</t>
    </r>
  </si>
  <si>
    <r>
      <rPr>
        <sz val="9"/>
        <rFont val="맑은 고딕"/>
        <family val="0"/>
        <charset val="1"/>
      </rPr>
      <t xml:space="preserve">GD2003-06-00A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.dwg</t>
    </r>
  </si>
  <si>
    <t xml:space="preserve">2020-12-16</t>
  </si>
  <si>
    <r>
      <rPr>
        <sz val="9"/>
        <rFont val="맑은 고딕"/>
        <family val="0"/>
        <charset val="1"/>
      </rPr>
      <t xml:space="preserve">GD2003-06-00A1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</si>
  <si>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GD2003-06-00B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.dwg</t>
    </r>
  </si>
  <si>
    <t xml:space="preserve">2020-12-22</t>
  </si>
  <si>
    <r>
      <rPr>
        <sz val="9"/>
        <rFont val="맑은 고딕"/>
        <family val="0"/>
        <charset val="1"/>
      </rPr>
      <t xml:space="preserve">GD2003-06-00C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.dwg</t>
    </r>
  </si>
  <si>
    <t xml:space="preserve">2021-01-12</t>
  </si>
  <si>
    <r>
      <rPr>
        <sz val="9"/>
        <rFont val="맑은 고딕"/>
        <family val="0"/>
        <charset val="1"/>
      </rPr>
      <t xml:space="preserve">GD2003-06-01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.dwg</t>
    </r>
  </si>
  <si>
    <t xml:space="preserve">2020-12-21</t>
  </si>
  <si>
    <r>
      <rPr>
        <sz val="9"/>
        <rFont val="맑은 고딕"/>
        <family val="0"/>
        <charset val="1"/>
      </rPr>
      <t xml:space="preserve">GD2003-06-02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</si>
  <si>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GD2003-06-02a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.dwg</t>
    </r>
  </si>
  <si>
    <t xml:space="preserve">2020-12-29</t>
  </si>
  <si>
    <r>
      <rPr>
        <sz val="9"/>
        <rFont val="맑은 고딕"/>
        <family val="0"/>
        <charset val="1"/>
      </rPr>
      <t xml:space="preserve">WE-MU-20-0079 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20Lt 40Lt Hastelloy Reactor bottom valve-201210.dwg</t>
    </r>
  </si>
  <si>
    <t xml:space="preserve">2020-12-11</t>
  </si>
  <si>
    <r>
      <rPr>
        <sz val="9"/>
        <rFont val="맑은 고딕"/>
        <family val="0"/>
        <charset val="1"/>
      </rPr>
      <t xml:space="preserve">WE-MU-20-0091 </t>
    </r>
    <r>
      <rPr>
        <sz val="9"/>
        <rFont val="Noto Sans CJK SC"/>
        <family val="2"/>
      </rPr>
      <t xml:space="preserve">애니젠 </t>
    </r>
    <r>
      <rPr>
        <sz val="9"/>
        <rFont val="맑은 고딕"/>
        <family val="0"/>
        <charset val="1"/>
      </rPr>
      <t xml:space="preserve">30Lt </t>
    </r>
    <r>
      <rPr>
        <sz val="9"/>
        <rFont val="Noto Sans CJK SC"/>
        <family val="2"/>
      </rPr>
      <t xml:space="preserve">고상반응기 상판</t>
    </r>
    <r>
      <rPr>
        <sz val="9"/>
        <rFont val="맑은 고딕"/>
        <family val="0"/>
        <charset val="1"/>
      </rPr>
      <t xml:space="preserve">-201201-HJ-3.dwg</t>
    </r>
  </si>
  <si>
    <t xml:space="preserve">AutoCAD 2013</t>
  </si>
  <si>
    <t xml:space="preserve">2020-12-01</t>
  </si>
  <si>
    <r>
      <rPr>
        <sz val="9"/>
        <rFont val="맑은 고딕"/>
        <family val="0"/>
        <charset val="1"/>
      </rPr>
      <t xml:space="preserve">WE-MU-20-0091 </t>
    </r>
    <r>
      <rPr>
        <sz val="9"/>
        <rFont val="Noto Sans CJK SC"/>
        <family val="2"/>
      </rPr>
      <t xml:space="preserve">애니젠 </t>
    </r>
    <r>
      <rPr>
        <sz val="9"/>
        <rFont val="맑은 고딕"/>
        <family val="0"/>
        <charset val="1"/>
      </rPr>
      <t xml:space="preserve">30L</t>
    </r>
    <r>
      <rPr>
        <sz val="9"/>
        <rFont val="Noto Sans CJK SC"/>
        <family val="2"/>
      </rPr>
      <t xml:space="preserve">고상반응기 상판</t>
    </r>
    <r>
      <rPr>
        <sz val="9"/>
        <rFont val="맑은 고딕"/>
        <family val="0"/>
        <charset val="1"/>
      </rPr>
      <t xml:space="preserve">.dwg</t>
    </r>
  </si>
  <si>
    <t xml:space="preserve">2020-12-10</t>
  </si>
  <si>
    <r>
      <rPr>
        <sz val="9"/>
        <rFont val="맑은 고딕"/>
        <family val="0"/>
        <charset val="1"/>
      </rPr>
      <t xml:space="preserve">WE-MU-20-0091 </t>
    </r>
    <r>
      <rPr>
        <sz val="9"/>
        <rFont val="Noto Sans CJK SC"/>
        <family val="2"/>
      </rPr>
      <t xml:space="preserve">애니젠 </t>
    </r>
    <r>
      <rPr>
        <sz val="9"/>
        <rFont val="맑은 고딕"/>
        <family val="0"/>
        <charset val="1"/>
      </rPr>
      <t xml:space="preserve">30</t>
    </r>
    <r>
      <rPr>
        <sz val="9"/>
        <rFont val="Noto Sans CJK SC"/>
        <family val="2"/>
      </rPr>
      <t xml:space="preserve">리터 고상반응기 경동글로벌텍 </t>
    </r>
    <r>
      <rPr>
        <sz val="9"/>
        <rFont val="맑은 고딕"/>
        <family val="0"/>
        <charset val="1"/>
      </rPr>
      <t xml:space="preserve">GD2003-06-00A </t>
    </r>
    <r>
      <rPr>
        <sz val="9"/>
        <rFont val="Noto Sans CJK SC"/>
        <family val="2"/>
      </rPr>
      <t xml:space="preserve">타공판도면</t>
    </r>
    <r>
      <rPr>
        <sz val="9"/>
        <rFont val="맑은 고딕"/>
        <family val="0"/>
        <charset val="1"/>
      </rPr>
      <t xml:space="preserve">-201216-LS.dwg</t>
    </r>
  </si>
  <si>
    <r>
      <rPr>
        <sz val="9"/>
        <rFont val="맑은 고딕"/>
        <family val="0"/>
        <charset val="1"/>
      </rPr>
      <t xml:space="preserve">WE-MU-20-0091 </t>
    </r>
    <r>
      <rPr>
        <sz val="9"/>
        <rFont val="Noto Sans CJK SC"/>
        <family val="2"/>
      </rPr>
      <t xml:space="preserve">오송공장 </t>
    </r>
    <r>
      <rPr>
        <sz val="9"/>
        <rFont val="맑은 고딕"/>
        <family val="0"/>
        <charset val="1"/>
      </rPr>
      <t xml:space="preserve">30</t>
    </r>
    <r>
      <rPr>
        <sz val="9"/>
        <rFont val="Noto Sans CJK SC"/>
        <family val="2"/>
      </rPr>
      <t xml:space="preserve">리터 고상반응기 제작 도면</t>
    </r>
    <r>
      <rPr>
        <sz val="9"/>
        <rFont val="맑은 고딕"/>
        <family val="0"/>
        <charset val="1"/>
      </rPr>
      <t xml:space="preserve">(DN300 </t>
    </r>
    <r>
      <rPr>
        <sz val="9"/>
        <rFont val="Noto Sans CJK SC"/>
        <family val="2"/>
      </rPr>
      <t xml:space="preserve">방폭모터</t>
    </r>
    <r>
      <rPr>
        <sz val="9"/>
        <rFont val="맑은 고딕"/>
        <family val="0"/>
        <charset val="1"/>
      </rPr>
      <t xml:space="preserve">)-201124.dwg</t>
    </r>
  </si>
  <si>
    <r>
      <rPr>
        <sz val="9"/>
        <rFont val="맑은 고딕"/>
        <family val="0"/>
        <charset val="1"/>
      </rPr>
      <t xml:space="preserve">WE-MU-20-0091-3 </t>
    </r>
    <r>
      <rPr>
        <sz val="9"/>
        <rFont val="Noto Sans CJK SC"/>
        <family val="2"/>
      </rPr>
      <t xml:space="preserve">애니젠 </t>
    </r>
    <r>
      <rPr>
        <sz val="9"/>
        <rFont val="맑은 고딕"/>
        <family val="0"/>
        <charset val="1"/>
      </rPr>
      <t xml:space="preserve">30Lt </t>
    </r>
    <r>
      <rPr>
        <sz val="9"/>
        <rFont val="Noto Sans CJK SC"/>
        <family val="2"/>
      </rPr>
      <t xml:space="preserve">고상반응기 </t>
    </r>
    <r>
      <rPr>
        <sz val="9"/>
        <rFont val="맑은 고딕"/>
        <family val="0"/>
        <charset val="1"/>
      </rPr>
      <t xml:space="preserve">baffle </t>
    </r>
    <r>
      <rPr>
        <sz val="9"/>
        <rFont val="Noto Sans CJK SC"/>
        <family val="2"/>
      </rPr>
      <t xml:space="preserve">도면 </t>
    </r>
    <r>
      <rPr>
        <sz val="9"/>
        <rFont val="맑은 고딕"/>
        <family val="0"/>
        <charset val="1"/>
      </rPr>
      <t xml:space="preserve">-201208-HLS.dwg</t>
    </r>
  </si>
  <si>
    <t xml:space="preserve">2020-12-08</t>
  </si>
  <si>
    <r>
      <rPr>
        <sz val="9"/>
        <rFont val="맑은 고딕"/>
        <family val="0"/>
        <charset val="1"/>
      </rPr>
      <t xml:space="preserve">WE-MU-20-0091-3 </t>
    </r>
    <r>
      <rPr>
        <sz val="9"/>
        <rFont val="Noto Sans CJK SC"/>
        <family val="2"/>
      </rPr>
      <t xml:space="preserve">애니젠 </t>
    </r>
    <r>
      <rPr>
        <sz val="9"/>
        <rFont val="맑은 고딕"/>
        <family val="0"/>
        <charset val="1"/>
      </rPr>
      <t xml:space="preserve">30Lt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-201208-HLS (</t>
    </r>
    <r>
      <rPr>
        <sz val="9"/>
        <rFont val="Noto Sans CJK SC"/>
        <family val="2"/>
      </rPr>
      <t xml:space="preserve">경동제출도면</t>
    </r>
    <r>
      <rPr>
        <sz val="9"/>
        <rFont val="맑은 고딕"/>
        <family val="0"/>
        <charset val="1"/>
      </rPr>
      <t xml:space="preserve">).dwg</t>
    </r>
  </si>
  <si>
    <r>
      <rPr>
        <sz val="9"/>
        <rFont val="Noto Sans CJK SC"/>
        <family val="2"/>
      </rPr>
      <t xml:space="preserve">이프텍 </t>
    </r>
    <r>
      <rPr>
        <sz val="9"/>
        <rFont val="맑은 고딕"/>
        <family val="0"/>
        <charset val="1"/>
      </rPr>
      <t xml:space="preserve">20201221</t>
    </r>
    <r>
      <rPr>
        <sz val="9"/>
        <rFont val="Noto Sans CJK SC"/>
        <family val="2"/>
      </rPr>
      <t xml:space="preserve">에니젠무빙</t>
    </r>
    <r>
      <rPr>
        <sz val="9"/>
        <rFont val="맑은 고딕"/>
        <family val="0"/>
        <charset val="1"/>
      </rPr>
      <t xml:space="preserve">-201221.dwg</t>
    </r>
  </si>
  <si>
    <t xml:space="preserve">2020-12-23</t>
  </si>
  <si>
    <t xml:space="preserve">STS REACTOR SET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</si>
  <si>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/STS REACTOR SET</t>
    </r>
  </si>
  <si>
    <t xml:space="preserve">PR2402CD01-SP080114.dwg</t>
  </si>
  <si>
    <t xml:space="preserve">2016-10-20</t>
  </si>
  <si>
    <t xml:space="preserve">PR2402DataSheet-080623.dwg</t>
  </si>
  <si>
    <t xml:space="preserve">PR2402EQ01-SP080112.dwg</t>
  </si>
  <si>
    <t xml:space="preserve">PR2402EQ02-SP071220.dwg</t>
  </si>
  <si>
    <t xml:space="preserve">PR2402EQ03-SP080112.dwg</t>
  </si>
  <si>
    <t xml:space="preserve">PR2402EQ04-SP080112.dwg</t>
  </si>
  <si>
    <t xml:space="preserve">PR2402LY01-SP071123.dwg</t>
  </si>
  <si>
    <t xml:space="preserve">PR2402PD01-SP090512.dwg</t>
  </si>
  <si>
    <t xml:space="preserve">PR2402RT01-SP071121.dwg</t>
  </si>
  <si>
    <r>
      <rPr>
        <sz val="9"/>
        <rFont val="맑은 고딕"/>
        <family val="0"/>
        <charset val="1"/>
      </rPr>
      <t xml:space="preserve">18 </t>
    </r>
    <r>
      <rPr>
        <sz val="9"/>
        <rFont val="Noto Sans CJK SC"/>
        <family val="2"/>
      </rPr>
      <t xml:space="preserve">경동도면함</t>
    </r>
  </si>
  <si>
    <t xml:space="preserve">DOOR LOCK BRACKET.dwg</t>
  </si>
  <si>
    <t xml:space="preserve">2019-01-10</t>
  </si>
  <si>
    <t xml:space="preserve">LIFT HOOK.dwg</t>
  </si>
  <si>
    <t xml:space="preserve">2020-01-27</t>
  </si>
  <si>
    <t xml:space="preserve">TABLE.dwg</t>
  </si>
  <si>
    <t xml:space="preserve">2020-01-21</t>
  </si>
  <si>
    <r>
      <rPr>
        <sz val="9"/>
        <rFont val="Noto Sans CJK SC"/>
        <family val="2"/>
      </rPr>
      <t xml:space="preserve">브라켓</t>
    </r>
    <r>
      <rPr>
        <sz val="9"/>
        <rFont val="맑은 고딕"/>
        <family val="0"/>
        <charset val="1"/>
      </rPr>
      <t xml:space="preserve">.dwg</t>
    </r>
  </si>
  <si>
    <t xml:space="preserve">2020-01-23</t>
  </si>
  <si>
    <t xml:space="preserve">COVER.dwg</t>
  </si>
  <si>
    <t xml:space="preserve">2017-08-08</t>
  </si>
  <si>
    <r>
      <rPr>
        <sz val="9"/>
        <rFont val="Noto Sans CJK SC"/>
        <family val="2"/>
      </rPr>
      <t xml:space="preserve">두루텍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오븐 명판</t>
    </r>
    <r>
      <rPr>
        <sz val="9"/>
        <rFont val="맑은 고딕"/>
        <family val="0"/>
        <charset val="1"/>
      </rPr>
      <t xml:space="preserve">A.dwg</t>
    </r>
  </si>
  <si>
    <t xml:space="preserve">2017-11-09</t>
  </si>
  <si>
    <r>
      <rPr>
        <sz val="9"/>
        <rFont val="Noto Sans CJK SC"/>
        <family val="2"/>
      </rPr>
      <t xml:space="preserve">두루텍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오븐 명판</t>
    </r>
    <r>
      <rPr>
        <sz val="9"/>
        <rFont val="맑은 고딕"/>
        <family val="0"/>
        <charset val="1"/>
      </rPr>
      <t xml:space="preserve">B.dwg</t>
    </r>
  </si>
  <si>
    <t xml:space="preserve">SPOON.dwg</t>
  </si>
  <si>
    <t xml:space="preserve">2020-03-16</t>
  </si>
  <si>
    <t xml:space="preserve">SPOON.dxf</t>
  </si>
  <si>
    <t xml:space="preserve">2020-06-19</t>
  </si>
  <si>
    <t xml:space="preserve">NF2-1610-SPIN-PACK-SEAL-SILICON.dwg</t>
  </si>
  <si>
    <t xml:space="preserve">2020-08-24</t>
  </si>
  <si>
    <t xml:space="preserve">NF2-1610-SPIN-PACK-SEAL-TEFRON.dwg</t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</si>
  <si>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/GD2003-00 </t>
    </r>
    <r>
      <rPr>
        <sz val="9"/>
        <rFont val="Noto Sans CJK SC"/>
        <family val="2"/>
      </rPr>
      <t xml:space="preserve">웰이엔씨</t>
    </r>
    <r>
      <rPr>
        <sz val="9"/>
        <rFont val="맑은 고딕"/>
        <family val="0"/>
        <charset val="1"/>
      </rPr>
      <t xml:space="preserve">/GD2003-01-VESSEL 160L</t>
    </r>
  </si>
  <si>
    <r>
      <rPr>
        <sz val="9"/>
        <rFont val="맑은 고딕"/>
        <family val="0"/>
        <charset val="1"/>
      </rPr>
      <t xml:space="preserve">SEAL </t>
    </r>
    <r>
      <rPr>
        <sz val="9"/>
        <rFont val="Noto Sans CJK SC"/>
        <family val="2"/>
      </rPr>
      <t xml:space="preserve">도면</t>
    </r>
    <r>
      <rPr>
        <sz val="9"/>
        <rFont val="맑은 고딕"/>
        <family val="0"/>
        <charset val="1"/>
      </rPr>
      <t xml:space="preserve">.dwg</t>
    </r>
  </si>
  <si>
    <t xml:space="preserve">2020-03-04</t>
  </si>
  <si>
    <r>
      <rPr>
        <sz val="9"/>
        <rFont val="맑은 고딕"/>
        <family val="0"/>
        <charset val="1"/>
      </rPr>
      <t xml:space="preserve">SEAL </t>
    </r>
    <r>
      <rPr>
        <sz val="9"/>
        <rFont val="Noto Sans CJK SC"/>
        <family val="2"/>
      </rPr>
      <t xml:space="preserve">도면</t>
    </r>
    <r>
      <rPr>
        <sz val="9"/>
        <rFont val="맑은 고딕"/>
        <family val="0"/>
        <charset val="1"/>
      </rPr>
      <t xml:space="preserve">a.dwg</t>
    </r>
  </si>
  <si>
    <r>
      <rPr>
        <sz val="9"/>
        <rFont val="맑은 고딕"/>
        <family val="0"/>
        <charset val="1"/>
      </rPr>
      <t xml:space="preserve">WELL-SUN-160L- </t>
    </r>
    <r>
      <rPr>
        <sz val="9"/>
        <rFont val="Noto Sans CJK SC"/>
        <family val="2"/>
      </rPr>
      <t xml:space="preserve">승인도면</t>
    </r>
    <r>
      <rPr>
        <sz val="9"/>
        <rFont val="맑은 고딕"/>
        <family val="0"/>
        <charset val="1"/>
      </rPr>
      <t xml:space="preserve">-1.dwg</t>
    </r>
  </si>
  <si>
    <t xml:space="preserve">2020-01-20</t>
  </si>
  <si>
    <r>
      <rPr>
        <sz val="9"/>
        <rFont val="맑은 고딕"/>
        <family val="0"/>
        <charset val="1"/>
      </rPr>
      <t xml:space="preserve">WELL-SUN-160L- </t>
    </r>
    <r>
      <rPr>
        <sz val="9"/>
        <rFont val="Noto Sans CJK SC"/>
        <family val="2"/>
      </rPr>
      <t xml:space="preserve">승인도면</t>
    </r>
    <r>
      <rPr>
        <sz val="9"/>
        <rFont val="맑은 고딕"/>
        <family val="0"/>
        <charset val="1"/>
      </rPr>
      <t xml:space="preserve">-1_Image_1.dwg</t>
    </r>
  </si>
  <si>
    <r>
      <rPr>
        <sz val="9"/>
        <rFont val="맑은 고딕"/>
        <family val="0"/>
        <charset val="1"/>
      </rPr>
      <t xml:space="preserve">WELL-SUN-160L- </t>
    </r>
    <r>
      <rPr>
        <sz val="9"/>
        <rFont val="Noto Sans CJK SC"/>
        <family val="2"/>
      </rPr>
      <t xml:space="preserve">승인도면</t>
    </r>
    <r>
      <rPr>
        <sz val="9"/>
        <rFont val="맑은 고딕"/>
        <family val="0"/>
        <charset val="1"/>
      </rPr>
      <t xml:space="preserve">-1_Image_2.dwg</t>
    </r>
  </si>
  <si>
    <r>
      <rPr>
        <sz val="9"/>
        <rFont val="맑은 고딕"/>
        <family val="0"/>
        <charset val="1"/>
      </rPr>
      <t xml:space="preserve">WELL-SUN-160L- </t>
    </r>
    <r>
      <rPr>
        <sz val="9"/>
        <rFont val="Noto Sans CJK SC"/>
        <family val="2"/>
      </rPr>
      <t xml:space="preserve">승인도면</t>
    </r>
    <r>
      <rPr>
        <sz val="9"/>
        <rFont val="맑은 고딕"/>
        <family val="0"/>
        <charset val="1"/>
      </rPr>
      <t xml:space="preserve">-1_Image_3.dwg</t>
    </r>
  </si>
  <si>
    <r>
      <rPr>
        <sz val="9"/>
        <rFont val="맑은 고딕"/>
        <family val="0"/>
        <charset val="1"/>
      </rPr>
      <t xml:space="preserve">WELL-SUN-160L- </t>
    </r>
    <r>
      <rPr>
        <sz val="9"/>
        <rFont val="Noto Sans CJK SC"/>
        <family val="2"/>
      </rPr>
      <t xml:space="preserve">승인도면</t>
    </r>
    <r>
      <rPr>
        <sz val="9"/>
        <rFont val="맑은 고딕"/>
        <family val="0"/>
        <charset val="1"/>
      </rPr>
      <t xml:space="preserve">-1_Image_4.dwg</t>
    </r>
  </si>
  <si>
    <r>
      <rPr>
        <sz val="9"/>
        <rFont val="Noto Sans CJK SC"/>
        <family val="2"/>
      </rPr>
      <t xml:space="preserve">선바이오 </t>
    </r>
    <r>
      <rPr>
        <sz val="9"/>
        <rFont val="맑은 고딕"/>
        <family val="0"/>
        <charset val="1"/>
      </rPr>
      <t xml:space="preserve">CR-162 JACKET-191210-2.dwg</t>
    </r>
  </si>
  <si>
    <t xml:space="preserve">2020-02-21</t>
  </si>
  <si>
    <r>
      <rPr>
        <sz val="9"/>
        <rFont val="Noto Sans CJK SC"/>
        <family val="2"/>
      </rPr>
      <t xml:space="preserve">선바이오 </t>
    </r>
    <r>
      <rPr>
        <sz val="9"/>
        <rFont val="맑은 고딕"/>
        <family val="0"/>
        <charset val="1"/>
      </rPr>
      <t xml:space="preserve">CR-162_200130.dwg</t>
    </r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</si>
  <si>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/GD2003-00 </t>
    </r>
    <r>
      <rPr>
        <sz val="9"/>
        <rFont val="Noto Sans CJK SC"/>
        <family val="2"/>
      </rPr>
      <t xml:space="preserve">웰이엔씨</t>
    </r>
    <r>
      <rPr>
        <sz val="9"/>
        <rFont val="맑은 고딕"/>
        <family val="0"/>
        <charset val="1"/>
      </rPr>
      <t xml:space="preserve">/GD2003-01-VESSEL 160L/GD2003-02 </t>
    </r>
    <r>
      <rPr>
        <sz val="9"/>
        <rFont val="Noto Sans CJK SC"/>
        <family val="2"/>
      </rPr>
      <t xml:space="preserve">제작도</t>
    </r>
  </si>
  <si>
    <t xml:space="preserve">SHEEL COVER LASER.dwg</t>
  </si>
  <si>
    <t xml:space="preserve">2020-02-28</t>
  </si>
  <si>
    <t xml:space="preserve">SHEEL FLANGE LASER.dwg</t>
  </si>
  <si>
    <t xml:space="preserve">SHEEL FLANGE.dwg</t>
  </si>
  <si>
    <r>
      <rPr>
        <sz val="9"/>
        <rFont val="맑은 고딕"/>
        <family val="0"/>
        <charset val="1"/>
      </rPr>
      <t xml:space="preserve">SHEEL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1.dwg</t>
    </r>
  </si>
  <si>
    <t xml:space="preserve">2020-03-05</t>
  </si>
  <si>
    <r>
      <rPr>
        <sz val="9"/>
        <rFont val="맑은 고딕"/>
        <family val="0"/>
        <charset val="1"/>
      </rPr>
      <t xml:space="preserve">SHEEL </t>
    </r>
    <r>
      <rPr>
        <sz val="9"/>
        <rFont val="Noto Sans CJK SC"/>
        <family val="2"/>
      </rPr>
      <t xml:space="preserve">레이저</t>
    </r>
    <r>
      <rPr>
        <sz val="9"/>
        <rFont val="맑은 고딕"/>
        <family val="0"/>
        <charset val="1"/>
      </rPr>
      <t xml:space="preserve">.dwg</t>
    </r>
  </si>
  <si>
    <t xml:space="preserve">2020-02-26</t>
  </si>
  <si>
    <t xml:space="preserve">impller LASER.dwg</t>
  </si>
  <si>
    <r>
      <rPr>
        <sz val="9"/>
        <rFont val="Noto Sans CJK SC"/>
        <family val="2"/>
      </rPr>
      <t xml:space="preserve">선바이오 </t>
    </r>
    <r>
      <rPr>
        <sz val="9"/>
        <rFont val="맑은 고딕"/>
        <family val="0"/>
        <charset val="1"/>
      </rPr>
      <t xml:space="preserve">CR-162 JACKET-200130-a.dwg</t>
    </r>
  </si>
  <si>
    <r>
      <rPr>
        <sz val="9"/>
        <rFont val="Noto Sans CJK SC"/>
        <family val="2"/>
      </rPr>
      <t xml:space="preserve">선바이오 </t>
    </r>
    <r>
      <rPr>
        <sz val="9"/>
        <rFont val="맑은 고딕"/>
        <family val="0"/>
        <charset val="1"/>
      </rPr>
      <t xml:space="preserve">CR-162 JACKET-200130-b.dwg</t>
    </r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</si>
  <si>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/GD2003-00 </t>
    </r>
    <r>
      <rPr>
        <sz val="9"/>
        <rFont val="Noto Sans CJK SC"/>
        <family val="2"/>
      </rPr>
      <t xml:space="preserve">웰이엔씨</t>
    </r>
    <r>
      <rPr>
        <sz val="9"/>
        <rFont val="맑은 고딕"/>
        <family val="0"/>
        <charset val="1"/>
      </rPr>
      <t xml:space="preserve">/GD2003-01-</t>
    </r>
    <r>
      <rPr>
        <sz val="9"/>
        <rFont val="Noto Sans CJK SC"/>
        <family val="2"/>
      </rPr>
      <t xml:space="preserve">썬바이오</t>
    </r>
    <r>
      <rPr>
        <sz val="9"/>
        <rFont val="맑은 고딕"/>
        <family val="0"/>
        <charset val="1"/>
      </rPr>
      <t xml:space="preserve">-VESSEL 160L</t>
    </r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</si>
  <si>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/GD2003-00 </t>
    </r>
    <r>
      <rPr>
        <sz val="9"/>
        <rFont val="Noto Sans CJK SC"/>
        <family val="2"/>
      </rPr>
      <t xml:space="preserve">웰이엔씨</t>
    </r>
    <r>
      <rPr>
        <sz val="9"/>
        <rFont val="맑은 고딕"/>
        <family val="0"/>
        <charset val="1"/>
      </rPr>
      <t xml:space="preserve">/GD2003-01-</t>
    </r>
    <r>
      <rPr>
        <sz val="9"/>
        <rFont val="Noto Sans CJK SC"/>
        <family val="2"/>
      </rPr>
      <t xml:space="preserve">썬바이오</t>
    </r>
    <r>
      <rPr>
        <sz val="9"/>
        <rFont val="맑은 고딕"/>
        <family val="0"/>
        <charset val="1"/>
      </rPr>
      <t xml:space="preserve">-VESSEL 160L/GD2003-02 </t>
    </r>
    <r>
      <rPr>
        <sz val="9"/>
        <rFont val="Noto Sans CJK SC"/>
        <family val="2"/>
      </rPr>
      <t xml:space="preserve">제작도</t>
    </r>
  </si>
  <si>
    <r>
      <rPr>
        <sz val="9"/>
        <rFont val="Noto Sans CJK SC"/>
        <family val="2"/>
      </rPr>
      <t xml:space="preserve">선바이오 </t>
    </r>
    <r>
      <rPr>
        <sz val="9"/>
        <rFont val="맑은 고딕"/>
        <family val="0"/>
        <charset val="1"/>
      </rPr>
      <t xml:space="preserve">CR-162 JACKET-191210-20.dwg</t>
    </r>
  </si>
  <si>
    <t xml:space="preserve">2021-06-02</t>
  </si>
  <si>
    <r>
      <rPr>
        <sz val="9"/>
        <rFont val="맑은 고딕"/>
        <family val="0"/>
        <charset val="1"/>
      </rPr>
      <t xml:space="preserve">GD1906-</t>
    </r>
    <r>
      <rPr>
        <sz val="9"/>
        <rFont val="Noto Sans CJK SC"/>
        <family val="2"/>
      </rPr>
      <t xml:space="preserve">저장탱크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대한열기</t>
    </r>
  </si>
  <si>
    <r>
      <rPr>
        <sz val="9"/>
        <rFont val="맑은 고딕"/>
        <family val="0"/>
        <charset val="1"/>
      </rPr>
      <t xml:space="preserve">19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/GD1906-</t>
    </r>
    <r>
      <rPr>
        <sz val="9"/>
        <rFont val="Noto Sans CJK SC"/>
        <family val="2"/>
      </rPr>
      <t xml:space="preserve">저장탱크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대한열기</t>
    </r>
  </si>
  <si>
    <t xml:space="preserve">D-Tank Main Page-200123.dwg</t>
  </si>
  <si>
    <t xml:space="preserve">AutoCAD R14</t>
  </si>
  <si>
    <t xml:space="preserve">2020-01-28</t>
  </si>
  <si>
    <t xml:space="preserve">D-Tank Main Page-200123A.dwg</t>
  </si>
  <si>
    <t xml:space="preserve">D-Tank Main Page-200123B.dwg</t>
  </si>
  <si>
    <t xml:space="preserve">D-Tank Main Page-200123B.dxf</t>
  </si>
  <si>
    <t xml:space="preserve">Tanks Name plates Bracket.dwg</t>
  </si>
  <si>
    <t xml:space="preserve">2020-01-13</t>
  </si>
  <si>
    <t xml:space="preserve">Tanks Name plates for additive skid system_SEK.dwg</t>
  </si>
  <si>
    <t xml:space="preserve">Tanks Name plates-200114.dwg</t>
  </si>
  <si>
    <t xml:space="preserve">2020-01-14</t>
  </si>
  <si>
    <r>
      <rPr>
        <sz val="9"/>
        <rFont val="Noto Sans CJK SC"/>
        <family val="2"/>
      </rPr>
      <t xml:space="preserve">명판</t>
    </r>
    <r>
      <rPr>
        <sz val="9"/>
        <rFont val="맑은 고딕"/>
        <family val="0"/>
        <charset val="1"/>
      </rPr>
      <t xml:space="preserve">.dxf</t>
    </r>
  </si>
  <si>
    <r>
      <rPr>
        <sz val="9"/>
        <rFont val="맑은 고딕"/>
        <family val="0"/>
        <charset val="1"/>
      </rPr>
      <t xml:space="preserve">19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/GD1906-</t>
    </r>
    <r>
      <rPr>
        <sz val="9"/>
        <rFont val="Noto Sans CJK SC"/>
        <family val="2"/>
      </rPr>
      <t xml:space="preserve">저장탱크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대한열기</t>
    </r>
    <r>
      <rPr>
        <sz val="9"/>
        <rFont val="맑은 고딕"/>
        <family val="0"/>
        <charset val="1"/>
      </rPr>
      <t xml:space="preserve">/GD1905-01-02 2</t>
    </r>
    <r>
      <rPr>
        <sz val="9"/>
        <rFont val="Noto Sans CJK SC"/>
        <family val="2"/>
      </rPr>
      <t xml:space="preserve">차 도면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</si>
  <si>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경판절단</t>
    </r>
    <r>
      <rPr>
        <sz val="9"/>
        <rFont val="맑은 고딕"/>
        <family val="0"/>
        <charset val="1"/>
      </rPr>
      <t xml:space="preserve">.dwg</t>
    </r>
  </si>
  <si>
    <t xml:space="preserve">2019-12-21</t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</si>
  <si>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2-316-4T.dwg</t>
    </r>
  </si>
  <si>
    <t xml:space="preserve">2019-12-27</t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</si>
  <si>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3-3T 304.dwg</t>
    </r>
  </si>
  <si>
    <t xml:space="preserve">2020-01-03</t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</si>
  <si>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4-4T 304.dwg</t>
    </r>
  </si>
  <si>
    <t xml:space="preserve">2020-01-06</t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</si>
  <si>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5-15T 304.dwg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</si>
  <si>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6-15T 304.dwg</t>
    </r>
  </si>
  <si>
    <t xml:space="preserve">2020-01-10</t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</si>
  <si>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7-15T 304.dwg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</si>
  <si>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8-3T 304.dwg</t>
    </r>
  </si>
  <si>
    <t xml:space="preserve">2020-01-22</t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</si>
  <si>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레지저 </t>
    </r>
    <r>
      <rPr>
        <sz val="9"/>
        <rFont val="맑은 고딕"/>
        <family val="0"/>
        <charset val="1"/>
      </rPr>
      <t xml:space="preserve">1-3OT.dwg</t>
    </r>
  </si>
  <si>
    <r>
      <rPr>
        <sz val="9"/>
        <rFont val="맑은 고딕"/>
        <family val="0"/>
        <charset val="1"/>
      </rPr>
      <t xml:space="preserve">GD1905-02 </t>
    </r>
    <r>
      <rPr>
        <sz val="9"/>
        <rFont val="Noto Sans CJK SC"/>
        <family val="2"/>
      </rPr>
      <t xml:space="preserve">셀 레이저 절단</t>
    </r>
    <r>
      <rPr>
        <sz val="9"/>
        <rFont val="맑은 고딕"/>
        <family val="0"/>
        <charset val="1"/>
      </rPr>
      <t xml:space="preserve">191229.dwg</t>
    </r>
  </si>
  <si>
    <t xml:space="preserve">2019-12-29</t>
  </si>
  <si>
    <r>
      <rPr>
        <sz val="9"/>
        <rFont val="맑은 고딕"/>
        <family val="0"/>
        <charset val="1"/>
      </rPr>
      <t xml:space="preserve">GD1905-03 04</t>
    </r>
    <r>
      <rPr>
        <sz val="9"/>
        <rFont val="Noto Sans CJK SC"/>
        <family val="2"/>
      </rPr>
      <t xml:space="preserve">노즐 변경</t>
    </r>
    <r>
      <rPr>
        <sz val="9"/>
        <rFont val="맑은 고딕"/>
        <family val="0"/>
        <charset val="1"/>
      </rPr>
      <t xml:space="preserve">.dwg</t>
    </r>
  </si>
  <si>
    <t xml:space="preserve">2020-01-15</t>
  </si>
  <si>
    <t xml:space="preserve">GD1905-03 BRACKET CHANGE .dwg</t>
  </si>
  <si>
    <t xml:space="preserve">2020-01-02</t>
  </si>
  <si>
    <r>
      <rPr>
        <sz val="9"/>
        <rFont val="맑은 고딕"/>
        <family val="0"/>
        <charset val="1"/>
      </rPr>
      <t xml:space="preserve">GD1905-03 </t>
    </r>
    <r>
      <rPr>
        <sz val="9"/>
        <rFont val="Noto Sans CJK SC"/>
        <family val="2"/>
      </rPr>
      <t xml:space="preserve">변경 안</t>
    </r>
    <r>
      <rPr>
        <sz val="9"/>
        <rFont val="맑은 고딕"/>
        <family val="0"/>
        <charset val="1"/>
      </rPr>
      <t xml:space="preserve">.dwg</t>
    </r>
  </si>
  <si>
    <t xml:space="preserve">GD1905-04 BRACKET.dwg</t>
  </si>
  <si>
    <t xml:space="preserve">2020-02-05</t>
  </si>
  <si>
    <r>
      <rPr>
        <sz val="9"/>
        <rFont val="맑은 고딕"/>
        <family val="0"/>
        <charset val="1"/>
      </rPr>
      <t xml:space="preserve">GD1905-04 </t>
    </r>
    <r>
      <rPr>
        <sz val="9"/>
        <rFont val="Noto Sans CJK SC"/>
        <family val="2"/>
      </rPr>
      <t xml:space="preserve">노즐 맹 플렌지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</si>
  <si>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GD1905-04 </t>
    </r>
    <r>
      <rPr>
        <sz val="9"/>
        <rFont val="Noto Sans CJK SC"/>
        <family val="2"/>
      </rPr>
      <t xml:space="preserve">브라켓 변경 안</t>
    </r>
    <r>
      <rPr>
        <sz val="9"/>
        <rFont val="맑은 고딕"/>
        <family val="0"/>
        <charset val="1"/>
      </rPr>
      <t xml:space="preserve">.dwg</t>
    </r>
  </si>
  <si>
    <t xml:space="preserve">NI047-10-W01-Main Page.dwg</t>
  </si>
  <si>
    <t xml:space="preserve">2019-12-26</t>
  </si>
  <si>
    <t xml:space="preserve">[DOOSAN-PID_ALL-ADDITIVE-2019.12.07(CODE-H)-07.dwg</t>
  </si>
  <si>
    <t xml:space="preserve">2019-12-23</t>
  </si>
  <si>
    <t xml:space="preserve">[DOOSAN-PID_ALL-ADDITIVE-2019.12.07.dxf</t>
  </si>
  <si>
    <t xml:space="preserve">[DOOSAN][E-CUBE][GODO]-PID_ALL-ADDITIVE-2019.12.07(CODE-H)-07.dwg</t>
  </si>
  <si>
    <t xml:space="preserve">AutoCAD 2007</t>
  </si>
  <si>
    <r>
      <rPr>
        <sz val="9"/>
        <rFont val="Noto Sans CJK SC"/>
        <family val="2"/>
      </rPr>
      <t xml:space="preserve">경판전개도</t>
    </r>
    <r>
      <rPr>
        <sz val="9"/>
        <rFont val="맑은 고딕"/>
        <family val="0"/>
        <charset val="1"/>
      </rPr>
      <t xml:space="preserve">_Sheet_1.dwg</t>
    </r>
  </si>
  <si>
    <t xml:space="preserve">2019-12-24</t>
  </si>
  <si>
    <r>
      <rPr>
        <sz val="9"/>
        <rFont val="Noto Sans CJK SC"/>
        <family val="2"/>
      </rPr>
      <t xml:space="preserve">경판전개도</t>
    </r>
    <r>
      <rPr>
        <sz val="9"/>
        <rFont val="맑은 고딕"/>
        <family val="0"/>
        <charset val="1"/>
      </rPr>
      <t xml:space="preserve">_Sheet_2.dwg</t>
    </r>
  </si>
  <si>
    <r>
      <rPr>
        <sz val="9"/>
        <rFont val="Noto Sans CJK SC"/>
        <family val="2"/>
      </rPr>
      <t xml:space="preserve">경판전개도</t>
    </r>
    <r>
      <rPr>
        <sz val="9"/>
        <rFont val="맑은 고딕"/>
        <family val="0"/>
        <charset val="1"/>
      </rPr>
      <t xml:space="preserve">_Sheet_3.dwg</t>
    </r>
  </si>
  <si>
    <r>
      <rPr>
        <sz val="9"/>
        <rFont val="맑은 고딕"/>
        <family val="0"/>
        <charset val="1"/>
      </rPr>
      <t xml:space="preserve">19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/GD1906-</t>
    </r>
    <r>
      <rPr>
        <sz val="9"/>
        <rFont val="Noto Sans CJK SC"/>
        <family val="2"/>
      </rPr>
      <t xml:space="preserve">저장탱크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대한열기</t>
    </r>
    <r>
      <rPr>
        <sz val="9"/>
        <rFont val="맑은 고딕"/>
        <family val="0"/>
        <charset val="1"/>
      </rPr>
      <t xml:space="preserve">/GD1905-01-02 2</t>
    </r>
    <r>
      <rPr>
        <sz val="9"/>
        <rFont val="Noto Sans CJK SC"/>
        <family val="2"/>
      </rPr>
      <t xml:space="preserve">차 도면</t>
    </r>
    <r>
      <rPr>
        <sz val="9"/>
        <rFont val="맑은 고딕"/>
        <family val="0"/>
        <charset val="1"/>
      </rPr>
      <t xml:space="preserve">/20191212_Vessel DWG_TRacel_HEC-2</t>
    </r>
    <r>
      <rPr>
        <sz val="9"/>
        <rFont val="Noto Sans CJK SC"/>
        <family val="2"/>
      </rPr>
      <t xml:space="preserve">대</t>
    </r>
  </si>
  <si>
    <t xml:space="preserve">NI047-10-W01-C_Tank with insulation_Main Page.dwg</t>
  </si>
  <si>
    <t xml:space="preserve">NI047-10-W01-C_Tank with insulation_Phase 1_1.dwg</t>
  </si>
  <si>
    <t xml:space="preserve">NI047-10-W01-C_Tank with insulation_Phase 1_2.dwg</t>
  </si>
  <si>
    <t xml:space="preserve">NI047-10-W01-C_Tank with insulation_Phase 2.dwg</t>
  </si>
  <si>
    <t xml:space="preserve">NI047-10-W01-C_Tank with insulation_Phase 3.dwg</t>
  </si>
  <si>
    <t xml:space="preserve">NI047-10-W01-C_Tank with insulation_Phase 4.dwg</t>
  </si>
  <si>
    <r>
      <rPr>
        <sz val="9"/>
        <rFont val="맑은 고딕"/>
        <family val="0"/>
        <charset val="1"/>
      </rPr>
      <t xml:space="preserve">19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/GD1906-</t>
    </r>
    <r>
      <rPr>
        <sz val="9"/>
        <rFont val="Noto Sans CJK SC"/>
        <family val="2"/>
      </rPr>
      <t xml:space="preserve">저장탱크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대한열기</t>
    </r>
    <r>
      <rPr>
        <sz val="9"/>
        <rFont val="맑은 고딕"/>
        <family val="0"/>
        <charset val="1"/>
      </rPr>
      <t xml:space="preserve">/GD1905-01-02 2</t>
    </r>
    <r>
      <rPr>
        <sz val="9"/>
        <rFont val="Noto Sans CJK SC"/>
        <family val="2"/>
      </rPr>
      <t xml:space="preserve">차 도면</t>
    </r>
    <r>
      <rPr>
        <sz val="9"/>
        <rFont val="맑은 고딕"/>
        <family val="0"/>
        <charset val="1"/>
      </rPr>
      <t xml:space="preserve">/20191217_Vessel DWG_TRacel_SOLUGEL(Mirrored)-3</t>
    </r>
    <r>
      <rPr>
        <sz val="9"/>
        <rFont val="Noto Sans CJK SC"/>
        <family val="2"/>
      </rPr>
      <t xml:space="preserve">대</t>
    </r>
  </si>
  <si>
    <t xml:space="preserve">NI047-10-W01-C_Tank with insulation_Main Page_M.dwg</t>
  </si>
  <si>
    <t xml:space="preserve">NI047-10-W01-C_Tank with insulation_Phase 1_1_M.dwg</t>
  </si>
  <si>
    <t xml:space="preserve">NI047-10-W01-C_Tank with insulation_Phase 1_2_M.dwg</t>
  </si>
  <si>
    <t xml:space="preserve">AutoCAD 2010</t>
  </si>
  <si>
    <t xml:space="preserve">2019-12-16</t>
  </si>
  <si>
    <t xml:space="preserve">NI047-10-W01-C_Tank with insulation_Phase 2_M.dwg</t>
  </si>
  <si>
    <t xml:space="preserve">NI047-10-W01-C_Tank with insulation_Phase 3_M.dwg</t>
  </si>
  <si>
    <t xml:space="preserve">NI047-10-W01-C_Tank with insulation_Phase 4_M.dwg</t>
  </si>
  <si>
    <t xml:space="preserve">NI047-10-W01-C_Tank-M-A.dwg</t>
  </si>
  <si>
    <t xml:space="preserve">2019-12-19</t>
  </si>
  <si>
    <r>
      <rPr>
        <sz val="9"/>
        <rFont val="맑은 고딕"/>
        <family val="0"/>
        <charset val="1"/>
      </rPr>
      <t xml:space="preserve">19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/GD1906-</t>
    </r>
    <r>
      <rPr>
        <sz val="9"/>
        <rFont val="Noto Sans CJK SC"/>
        <family val="2"/>
      </rPr>
      <t xml:space="preserve">저장탱크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대한열기</t>
    </r>
    <r>
      <rPr>
        <sz val="9"/>
        <rFont val="맑은 고딕"/>
        <family val="0"/>
        <charset val="1"/>
      </rPr>
      <t xml:space="preserve">/GD1905-01-02 4</t>
    </r>
    <r>
      <rPr>
        <sz val="9"/>
        <rFont val="Noto Sans CJK SC"/>
        <family val="2"/>
      </rPr>
      <t xml:space="preserve">차도면</t>
    </r>
  </si>
  <si>
    <r>
      <rPr>
        <sz val="9"/>
        <rFont val="맑은 고딕"/>
        <family val="0"/>
        <charset val="1"/>
      </rPr>
      <t xml:space="preserve">19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/GD1906-</t>
    </r>
    <r>
      <rPr>
        <sz val="9"/>
        <rFont val="Noto Sans CJK SC"/>
        <family val="2"/>
      </rPr>
      <t xml:space="preserve">저장탱크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대한열기</t>
    </r>
    <r>
      <rPr>
        <sz val="9"/>
        <rFont val="맑은 고딕"/>
        <family val="0"/>
        <charset val="1"/>
      </rPr>
      <t xml:space="preserve">/GD1905-01-02 4</t>
    </r>
    <r>
      <rPr>
        <sz val="9"/>
        <rFont val="Noto Sans CJK SC"/>
        <family val="2"/>
      </rPr>
      <t xml:space="preserve">차도면</t>
    </r>
    <r>
      <rPr>
        <sz val="9"/>
        <rFont val="맑은 고딕"/>
        <family val="0"/>
        <charset val="1"/>
      </rPr>
      <t xml:space="preserve">/NI047-10-W01-D_HEC Tanks (TK-201B, TK-201C))</t>
    </r>
  </si>
  <si>
    <t xml:space="preserve">NI047-10-W01-D_Tank with insulation_Main Page_2010.dwg</t>
  </si>
  <si>
    <t xml:space="preserve">NI047-10-W01-D_Tank with insulation_Phase 1_1_2010.dwg</t>
  </si>
  <si>
    <t xml:space="preserve">2020-01-08</t>
  </si>
  <si>
    <t xml:space="preserve">NI047-10-W01-D_Tank with insulation_Phase 1_2_2010.dwg</t>
  </si>
  <si>
    <t xml:space="preserve">NI047-10-W01-D_Tank with insulation_Phase 2_2010.dwg</t>
  </si>
  <si>
    <t xml:space="preserve">NI047-10-W01-D_Tank with insulation_Phase 3_2010.dwg</t>
  </si>
  <si>
    <t xml:space="preserve">NI047-10-W01-D_Tank with insulation_Phase 4_2010.dwg</t>
  </si>
  <si>
    <r>
      <rPr>
        <sz val="9"/>
        <rFont val="맑은 고딕"/>
        <family val="0"/>
        <charset val="1"/>
      </rPr>
      <t xml:space="preserve">19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/GD1906-</t>
    </r>
    <r>
      <rPr>
        <sz val="9"/>
        <rFont val="Noto Sans CJK SC"/>
        <family val="2"/>
      </rPr>
      <t xml:space="preserve">저장탱크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대한열기</t>
    </r>
    <r>
      <rPr>
        <sz val="9"/>
        <rFont val="맑은 고딕"/>
        <family val="0"/>
        <charset val="1"/>
      </rPr>
      <t xml:space="preserve">/GD1905-01-02 4</t>
    </r>
    <r>
      <rPr>
        <sz val="9"/>
        <rFont val="Noto Sans CJK SC"/>
        <family val="2"/>
      </rPr>
      <t xml:space="preserve">차도면</t>
    </r>
    <r>
      <rPr>
        <sz val="9"/>
        <rFont val="맑은 고딕"/>
        <family val="0"/>
        <charset val="1"/>
      </rPr>
      <t xml:space="preserve">/NI047-90-W01-D_SOLUGEL Tanks (TK-101A, TK-101B, TK-101C)</t>
    </r>
  </si>
  <si>
    <t xml:space="preserve">NI047-90-W01-D_Tank with insulation_Main Page_2010.dwg</t>
  </si>
  <si>
    <t xml:space="preserve">NI047-90-W01-D_Tank with insulation_Phase 1_1_2010.dwg</t>
  </si>
  <si>
    <t xml:space="preserve">NI047-90-W01-D_Tank with insulation_Phase 1_2_2010.dwg</t>
  </si>
  <si>
    <t xml:space="preserve">NI047-90-W01-D_Tank with insulation_Phase 2_2010.dwg</t>
  </si>
  <si>
    <t xml:space="preserve">NI047-90-W01-D_Tank with insulation_Phase 3_2010.dwg</t>
  </si>
  <si>
    <t xml:space="preserve">NI047-90-W01-D_Tank with insulation_Phase 4_2010.dwg</t>
  </si>
  <si>
    <r>
      <rPr>
        <sz val="9"/>
        <rFont val="맑은 고딕"/>
        <family val="0"/>
        <charset val="1"/>
      </rPr>
      <t xml:space="preserve">GD160801-</t>
    </r>
    <r>
      <rPr>
        <sz val="9"/>
        <rFont val="Noto Sans CJK SC"/>
        <family val="2"/>
      </rPr>
      <t xml:space="preserve">진공건조기</t>
    </r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</si>
  <si>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/GD160801-</t>
    </r>
    <r>
      <rPr>
        <sz val="9"/>
        <rFont val="Noto Sans CJK SC"/>
        <family val="2"/>
      </rPr>
      <t xml:space="preserve">진공건조기</t>
    </r>
  </si>
  <si>
    <t xml:space="preserve">GD1606-01-00.dwg</t>
  </si>
  <si>
    <t xml:space="preserve">2016-09-07</t>
  </si>
  <si>
    <t xml:space="preserve">GD1606-01-01-LASER.dwg</t>
  </si>
  <si>
    <t xml:space="preserve">2016-09-27</t>
  </si>
  <si>
    <t xml:space="preserve">GD1606-01-01.dwg</t>
  </si>
  <si>
    <t xml:space="preserve">2016-09-02</t>
  </si>
  <si>
    <t xml:space="preserve">GD1606-01-01A-LASER.dwg</t>
  </si>
  <si>
    <t xml:space="preserve">2016-09-12</t>
  </si>
  <si>
    <t xml:space="preserve">GD1606-01-01A1-LASER.dwg</t>
  </si>
  <si>
    <t xml:space="preserve">GD1606-01-01B-LASER.dwg</t>
  </si>
  <si>
    <t xml:space="preserve">GD1606-01-01C-LASER.dwg</t>
  </si>
  <si>
    <t xml:space="preserve">2016-09-20</t>
  </si>
  <si>
    <t xml:space="preserve">GD1606-01-01D-LASER.dwg</t>
  </si>
  <si>
    <t xml:space="preserve">2016-09-26</t>
  </si>
  <si>
    <t xml:space="preserve">GD1606-01-01E-LASER.dwg</t>
  </si>
  <si>
    <t xml:space="preserve">GD1606-01-03.dwg</t>
  </si>
  <si>
    <t xml:space="preserve">2016-09-13</t>
  </si>
  <si>
    <t xml:space="preserve">GD1606-01-03A.dwg</t>
  </si>
  <si>
    <t xml:space="preserve">2016-09-19</t>
  </si>
  <si>
    <t xml:space="preserve">GD1606-01-03B.dwg</t>
  </si>
  <si>
    <t xml:space="preserve">GD1606-01-03C.dwg</t>
  </si>
  <si>
    <t xml:space="preserve">GD1606-01-03C1.dwg</t>
  </si>
  <si>
    <t xml:space="preserve">2016-09-22</t>
  </si>
  <si>
    <t xml:space="preserve">GD1606-01-03C2.dwg</t>
  </si>
  <si>
    <t xml:space="preserve">LASER2.dwg</t>
  </si>
  <si>
    <r>
      <rPr>
        <sz val="9"/>
        <rFont val="Noto Sans CJK SC"/>
        <family val="2"/>
      </rPr>
      <t xml:space="preserve">보온</t>
    </r>
    <r>
      <rPr>
        <sz val="9"/>
        <rFont val="맑은 고딕"/>
        <family val="0"/>
        <charset val="1"/>
      </rPr>
      <t xml:space="preserve">COVER-LASER.dwg</t>
    </r>
  </si>
  <si>
    <t xml:space="preserve">2016-09-28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</si>
  <si>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/GD160801-</t>
    </r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가공참고도면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청수</t>
    </r>
    <r>
      <rPr>
        <sz val="9"/>
        <rFont val="맑은 고딕"/>
        <family val="0"/>
        <charset val="1"/>
      </rPr>
      <t xml:space="preserve">)/0_FW_ </t>
    </r>
    <r>
      <rPr>
        <sz val="9"/>
        <rFont val="Noto Sans CJK SC"/>
        <family val="2"/>
      </rPr>
      <t xml:space="preserve">가공 도면</t>
    </r>
    <r>
      <rPr>
        <sz val="9"/>
        <rFont val="맑은 고딕"/>
        <family val="0"/>
        <charset val="1"/>
      </rPr>
      <t xml:space="preserve">_160920</t>
    </r>
  </si>
  <si>
    <t xml:space="preserve">CO10-A.DWG</t>
  </si>
  <si>
    <t xml:space="preserve">CO15-A(CO-201~3).dwg</t>
  </si>
  <si>
    <t xml:space="preserve">HH300-1(Receiver).dwg</t>
  </si>
  <si>
    <r>
      <rPr>
        <sz val="9"/>
        <rFont val="맑은 고딕"/>
        <family val="0"/>
        <charset val="1"/>
      </rPr>
      <t xml:space="preserve">LG55355-A(</t>
    </r>
    <r>
      <rPr>
        <sz val="9"/>
        <rFont val="Noto Sans CJK SC"/>
        <family val="2"/>
      </rPr>
      <t xml:space="preserve">라운드</t>
    </r>
    <r>
      <rPr>
        <sz val="9"/>
        <rFont val="맑은 고딕"/>
        <family val="0"/>
        <charset val="1"/>
      </rPr>
      <t xml:space="preserve">).dwg</t>
    </r>
  </si>
  <si>
    <r>
      <rPr>
        <sz val="9"/>
        <rFont val="맑은 고딕"/>
        <family val="0"/>
        <charset val="1"/>
      </rPr>
      <t xml:space="preserve">LG55430-A(</t>
    </r>
    <r>
      <rPr>
        <sz val="9"/>
        <rFont val="Noto Sans CJK SC"/>
        <family val="2"/>
      </rPr>
      <t xml:space="preserve">라운드</t>
    </r>
    <r>
      <rPr>
        <sz val="9"/>
        <rFont val="맑은 고딕"/>
        <family val="0"/>
        <charset val="1"/>
      </rPr>
      <t xml:space="preserve">).dwg</t>
    </r>
  </si>
  <si>
    <t xml:space="preserve">MH400-B(Receiver).dwg</t>
  </si>
  <si>
    <t xml:space="preserve">MH450-K1(2015.03.02).dwg</t>
  </si>
  <si>
    <t xml:space="preserve">TVD18-C-1.dwg</t>
  </si>
  <si>
    <t xml:space="preserve">TVD18-C-2.dwg</t>
  </si>
  <si>
    <t xml:space="preserve">TVD18-C-3.dwg</t>
  </si>
  <si>
    <t xml:space="preserve">TVD18-C.dwg</t>
  </si>
  <si>
    <t xml:space="preserve">TVD18-E.dwg</t>
  </si>
  <si>
    <r>
      <rPr>
        <sz val="9"/>
        <rFont val="Noto Sans CJK SC"/>
        <family val="2"/>
      </rPr>
      <t xml:space="preserve">스위벨조인트</t>
    </r>
    <r>
      <rPr>
        <sz val="9"/>
        <rFont val="맑은 고딕"/>
        <family val="0"/>
        <charset val="1"/>
      </rPr>
      <t xml:space="preserve">-A(2014.09.19).dwg</t>
    </r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</si>
  <si>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/GD160801-</t>
    </r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진공건조기 참고용 도면</t>
    </r>
  </si>
  <si>
    <t xml:space="preserve">HT00EQ01A-DA121112.dwg</t>
  </si>
  <si>
    <t xml:space="preserve">2012-11-28</t>
  </si>
  <si>
    <t xml:space="preserve">VD05EQ01A-DA121112.dwg</t>
  </si>
  <si>
    <t xml:space="preserve">2012-11-30</t>
  </si>
  <si>
    <t xml:space="preserve">VD05PD01A-DA121112.dwg</t>
  </si>
  <si>
    <t xml:space="preserve">2012-12-28</t>
  </si>
  <si>
    <r>
      <rPr>
        <sz val="9"/>
        <rFont val="Noto Sans CJK SC"/>
        <family val="2"/>
      </rPr>
      <t xml:space="preserve">진공건조기 </t>
    </r>
    <r>
      <rPr>
        <sz val="9"/>
        <rFont val="맑은 고딕"/>
        <family val="0"/>
        <charset val="1"/>
      </rPr>
      <t xml:space="preserve">2.0 A.dwg</t>
    </r>
  </si>
  <si>
    <t xml:space="preserve">2004-01-15</t>
  </si>
  <si>
    <r>
      <rPr>
        <sz val="9"/>
        <rFont val="Noto Sans CJK SC"/>
        <family val="2"/>
      </rPr>
      <t xml:space="preserve">진공건조기 </t>
    </r>
    <r>
      <rPr>
        <sz val="9"/>
        <rFont val="맑은 고딕"/>
        <family val="0"/>
        <charset val="1"/>
      </rPr>
      <t xml:space="preserve">2.0 B.dwg</t>
    </r>
  </si>
  <si>
    <t xml:space="preserve">2004-02-17</t>
  </si>
  <si>
    <r>
      <rPr>
        <sz val="9"/>
        <rFont val="Noto Sans CJK SC"/>
        <family val="2"/>
      </rPr>
      <t xml:space="preserve">진공건조기 </t>
    </r>
    <r>
      <rPr>
        <sz val="9"/>
        <rFont val="맑은 고딕"/>
        <family val="0"/>
        <charset val="1"/>
      </rPr>
      <t xml:space="preserve">2.0 C.dwg</t>
    </r>
  </si>
  <si>
    <r>
      <rPr>
        <sz val="9"/>
        <rFont val="Noto Sans CJK SC"/>
        <family val="2"/>
      </rPr>
      <t xml:space="preserve">진공건조기 </t>
    </r>
    <r>
      <rPr>
        <sz val="9"/>
        <rFont val="맑은 고딕"/>
        <family val="0"/>
        <charset val="1"/>
      </rPr>
      <t xml:space="preserve">2.0 D.dwg</t>
    </r>
  </si>
  <si>
    <r>
      <rPr>
        <sz val="9"/>
        <rFont val="Noto Sans CJK SC"/>
        <family val="2"/>
      </rPr>
      <t xml:space="preserve">진공건조기 </t>
    </r>
    <r>
      <rPr>
        <sz val="9"/>
        <rFont val="맑은 고딕"/>
        <family val="0"/>
        <charset val="1"/>
      </rPr>
      <t xml:space="preserve">2.0 E.dwg</t>
    </r>
  </si>
  <si>
    <r>
      <rPr>
        <sz val="9"/>
        <rFont val="Noto Sans CJK SC"/>
        <family val="2"/>
      </rPr>
      <t xml:space="preserve">진공건조기 </t>
    </r>
    <r>
      <rPr>
        <sz val="9"/>
        <rFont val="맑은 고딕"/>
        <family val="0"/>
        <charset val="1"/>
      </rPr>
      <t xml:space="preserve">2.0 F.dwg</t>
    </r>
  </si>
  <si>
    <t xml:space="preserve">2003-10-10</t>
  </si>
  <si>
    <r>
      <rPr>
        <sz val="9"/>
        <rFont val="Noto Sans CJK SC"/>
        <family val="2"/>
      </rPr>
      <t xml:space="preserve">진공건조기 </t>
    </r>
    <r>
      <rPr>
        <sz val="9"/>
        <rFont val="맑은 고딕"/>
        <family val="0"/>
        <charset val="1"/>
      </rPr>
      <t xml:space="preserve">2.0 G.dwg</t>
    </r>
  </si>
  <si>
    <r>
      <rPr>
        <sz val="9"/>
        <rFont val="Noto Sans CJK SC"/>
        <family val="2"/>
      </rPr>
      <t xml:space="preserve">진공건조기 </t>
    </r>
    <r>
      <rPr>
        <sz val="9"/>
        <rFont val="맑은 고딕"/>
        <family val="0"/>
        <charset val="1"/>
      </rPr>
      <t xml:space="preserve">2.0 H.dwg</t>
    </r>
  </si>
  <si>
    <r>
      <rPr>
        <sz val="9"/>
        <rFont val="Noto Sans CJK SC"/>
        <family val="2"/>
      </rPr>
      <t xml:space="preserve">진공건조기 </t>
    </r>
    <r>
      <rPr>
        <sz val="9"/>
        <rFont val="맑은 고딕"/>
        <family val="0"/>
        <charset val="1"/>
      </rPr>
      <t xml:space="preserve">2.0 </t>
    </r>
    <r>
      <rPr>
        <sz val="9"/>
        <rFont val="Noto Sans CJK SC"/>
        <family val="2"/>
      </rPr>
      <t xml:space="preserve">가공용</t>
    </r>
    <r>
      <rPr>
        <sz val="9"/>
        <rFont val="맑은 고딕"/>
        <family val="0"/>
        <charset val="1"/>
      </rPr>
      <t xml:space="preserve">.dwg</t>
    </r>
  </si>
  <si>
    <t xml:space="preserve">2016-09-08</t>
  </si>
  <si>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0.5-</t>
    </r>
    <r>
      <rPr>
        <sz val="9"/>
        <rFont val="Noto Sans CJK SC"/>
        <family val="2"/>
      </rPr>
      <t xml:space="preserve">신풍</t>
    </r>
    <r>
      <rPr>
        <sz val="9"/>
        <rFont val="맑은 고딕"/>
        <family val="0"/>
        <charset val="1"/>
      </rPr>
      <t xml:space="preserve">0818.dwg</t>
    </r>
  </si>
  <si>
    <r>
      <rPr>
        <sz val="9"/>
        <rFont val="Noto Sans CJK SC"/>
        <family val="2"/>
      </rPr>
      <t xml:space="preserve">진공건조기전기도면</t>
    </r>
    <r>
      <rPr>
        <sz val="9"/>
        <rFont val="맑은 고딕"/>
        <family val="0"/>
        <charset val="1"/>
      </rPr>
      <t xml:space="preserve">121212.dwg</t>
    </r>
  </si>
  <si>
    <t xml:space="preserve">2012-12-12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</si>
  <si>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/GD160801-</t>
    </r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진공건조기 참고용 도면</t>
    </r>
    <r>
      <rPr>
        <sz val="9"/>
        <rFont val="맑은 고딕"/>
        <family val="0"/>
        <charset val="1"/>
      </rPr>
      <t xml:space="preserve">/0.5M3</t>
    </r>
  </si>
  <si>
    <r>
      <rPr>
        <sz val="9"/>
        <rFont val="Noto Sans CJK SC"/>
        <family val="2"/>
      </rPr>
      <t xml:space="preserve">온수탱크</t>
    </r>
    <r>
      <rPr>
        <sz val="9"/>
        <rFont val="맑은 고딕"/>
        <family val="0"/>
        <charset val="1"/>
      </rPr>
      <t xml:space="preserve">.dwg</t>
    </r>
  </si>
  <si>
    <t xml:space="preserve">2008-01-24</t>
  </si>
  <si>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1.dwg</t>
    </r>
  </si>
  <si>
    <t xml:space="preserve">2008-01-17</t>
  </si>
  <si>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2.dwg</t>
    </r>
  </si>
  <si>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3.dwg</t>
    </r>
  </si>
  <si>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3A.dwg</t>
    </r>
  </si>
  <si>
    <r>
      <rPr>
        <sz val="9"/>
        <rFont val="Noto Sans CJK SC"/>
        <family val="2"/>
      </rPr>
      <t xml:space="preserve">진공건조기가공</t>
    </r>
    <r>
      <rPr>
        <sz val="9"/>
        <rFont val="맑은 고딕"/>
        <family val="0"/>
        <charset val="1"/>
      </rPr>
      <t xml:space="preserve">.dwg</t>
    </r>
  </si>
  <si>
    <t xml:space="preserve">2008-01-19</t>
  </si>
  <si>
    <r>
      <rPr>
        <sz val="9"/>
        <rFont val="Noto Sans CJK SC"/>
        <family val="2"/>
      </rPr>
      <t xml:space="preserve">진공건조기조립도</t>
    </r>
    <r>
      <rPr>
        <sz val="9"/>
        <rFont val="맑은 고딕"/>
        <family val="0"/>
        <charset val="1"/>
      </rPr>
      <t xml:space="preserve">.dwg</t>
    </r>
  </si>
  <si>
    <t xml:space="preserve">2008-01-12</t>
  </si>
  <si>
    <r>
      <rPr>
        <sz val="9"/>
        <rFont val="Noto Sans CJK SC"/>
        <family val="2"/>
      </rPr>
      <t xml:space="preserve">진공탱크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</si>
  <si>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GD160804-</t>
    </r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200L</t>
    </r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</si>
  <si>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/GD160804-</t>
    </r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200L</t>
    </r>
  </si>
  <si>
    <t xml:space="preserve">GD1606-01-00A- approval.dwg</t>
  </si>
  <si>
    <t xml:space="preserve">2016-10-13</t>
  </si>
  <si>
    <t xml:space="preserve">GD1606-01-00A.dwg</t>
  </si>
  <si>
    <t xml:space="preserve">2016-10-07</t>
  </si>
  <si>
    <t xml:space="preserve">GD160804-01-01-laser1.dwg</t>
  </si>
  <si>
    <t xml:space="preserve">2016-11-22</t>
  </si>
  <si>
    <t xml:space="preserve">GD160804-01-01-laser2.dwg</t>
  </si>
  <si>
    <t xml:space="preserve">GD160804-01-01-laser3.dwg</t>
  </si>
  <si>
    <t xml:space="preserve">GD160804-01-01-laser3A.dwg</t>
  </si>
  <si>
    <t xml:space="preserve">GD160804-01-01-laser4.dwg</t>
  </si>
  <si>
    <t xml:space="preserve">2016-12-21</t>
  </si>
  <si>
    <r>
      <rPr>
        <sz val="9"/>
        <rFont val="맑은 고딕"/>
        <family val="0"/>
        <charset val="1"/>
      </rPr>
      <t xml:space="preserve">GD160804-01-01-</t>
    </r>
    <r>
      <rPr>
        <sz val="9"/>
        <rFont val="Noto Sans CJK SC"/>
        <family val="2"/>
      </rPr>
      <t xml:space="preserve">도어가공</t>
    </r>
    <r>
      <rPr>
        <sz val="9"/>
        <rFont val="맑은 고딕"/>
        <family val="0"/>
        <charset val="1"/>
      </rPr>
      <t xml:space="preserve">.dwg</t>
    </r>
  </si>
  <si>
    <t xml:space="preserve">2016-12-13</t>
  </si>
  <si>
    <r>
      <rPr>
        <sz val="9"/>
        <rFont val="맑은 고딕"/>
        <family val="0"/>
        <charset val="1"/>
      </rPr>
      <t xml:space="preserve">GD160804-02-00 </t>
    </r>
    <r>
      <rPr>
        <sz val="9"/>
        <rFont val="Noto Sans CJK SC"/>
        <family val="2"/>
      </rPr>
      <t xml:space="preserve">리시버 탱크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</si>
  <si>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GD160804-02-03 </t>
    </r>
    <r>
      <rPr>
        <sz val="9"/>
        <rFont val="Noto Sans CJK SC"/>
        <family val="2"/>
      </rPr>
      <t xml:space="preserve">콘덴샤</t>
    </r>
    <r>
      <rPr>
        <sz val="9"/>
        <rFont val="맑은 고딕"/>
        <family val="0"/>
        <charset val="1"/>
      </rPr>
      <t xml:space="preserve">.dwg</t>
    </r>
  </si>
  <si>
    <t xml:space="preserve">GD160804-03-01-laser1.dwg</t>
  </si>
  <si>
    <t xml:space="preserve">GD160804-03-01-laser2.dwg</t>
  </si>
  <si>
    <t xml:space="preserve">GD160804-03-02-PACKING.dwg</t>
  </si>
  <si>
    <r>
      <rPr>
        <sz val="9"/>
        <rFont val="맑은 고딕"/>
        <family val="0"/>
        <charset val="1"/>
      </rPr>
      <t xml:space="preserve">PRC2402</t>
    </r>
    <r>
      <rPr>
        <sz val="9"/>
        <rFont val="Noto Sans CJK SC"/>
        <family val="2"/>
      </rPr>
      <t xml:space="preserve">콘덴서</t>
    </r>
    <r>
      <rPr>
        <sz val="9"/>
        <rFont val="맑은 고딕"/>
        <family val="0"/>
        <charset val="1"/>
      </rPr>
      <t xml:space="preserve">A01-</t>
    </r>
    <r>
      <rPr>
        <sz val="9"/>
        <rFont val="Noto Sans CJK SC"/>
        <family val="2"/>
      </rPr>
      <t xml:space="preserve">신풍</t>
    </r>
    <r>
      <rPr>
        <sz val="9"/>
        <rFont val="맑은 고딕"/>
        <family val="0"/>
        <charset val="1"/>
      </rPr>
      <t xml:space="preserve">1121.dwg</t>
    </r>
  </si>
  <si>
    <t xml:space="preserve">2016-11-09</t>
  </si>
  <si>
    <r>
      <rPr>
        <sz val="9"/>
        <rFont val="맑은 고딕"/>
        <family val="0"/>
        <charset val="1"/>
      </rPr>
      <t xml:space="preserve">17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/GD1704-</t>
    </r>
    <r>
      <rPr>
        <sz val="9"/>
        <rFont val="Noto Sans CJK SC"/>
        <family val="2"/>
      </rPr>
      <t xml:space="preserve">두루텍</t>
    </r>
    <r>
      <rPr>
        <sz val="9"/>
        <rFont val="맑은 고딕"/>
        <family val="0"/>
        <charset val="1"/>
      </rPr>
      <t xml:space="preserve">/GD170402-</t>
    </r>
    <r>
      <rPr>
        <sz val="9"/>
        <rFont val="Noto Sans CJK SC"/>
        <family val="2"/>
      </rPr>
      <t xml:space="preserve">샌딩탱크</t>
    </r>
  </si>
  <si>
    <r>
      <rPr>
        <sz val="9"/>
        <rFont val="Noto Sans CJK SC"/>
        <family val="2"/>
      </rPr>
      <t xml:space="preserve">건조기 </t>
    </r>
    <r>
      <rPr>
        <sz val="9"/>
        <rFont val="맑은 고딕"/>
        <family val="0"/>
        <charset val="1"/>
      </rPr>
      <t xml:space="preserve">20170822.dxf</t>
    </r>
  </si>
  <si>
    <t xml:space="preserve">2017-08-22</t>
  </si>
  <si>
    <r>
      <rPr>
        <sz val="9"/>
        <rFont val="Noto Sans CJK SC"/>
        <family val="2"/>
      </rPr>
      <t xml:space="preserve">그린텍 건조기 </t>
    </r>
    <r>
      <rPr>
        <sz val="9"/>
        <rFont val="맑은 고딕"/>
        <family val="0"/>
        <charset val="1"/>
      </rPr>
      <t xml:space="preserve">20170822.dxf</t>
    </r>
  </si>
  <si>
    <r>
      <rPr>
        <sz val="9"/>
        <rFont val="맑은 고딕"/>
        <family val="0"/>
        <charset val="1"/>
      </rPr>
      <t xml:space="preserve">GD1802-</t>
    </r>
    <r>
      <rPr>
        <sz val="9"/>
        <rFont val="Noto Sans CJK SC"/>
        <family val="2"/>
      </rPr>
      <t xml:space="preserve">웰이엔씨</t>
    </r>
  </si>
  <si>
    <r>
      <rPr>
        <sz val="9"/>
        <rFont val="맑은 고딕"/>
        <family val="0"/>
        <charset val="1"/>
      </rPr>
      <t xml:space="preserve">18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/GD1802-</t>
    </r>
    <r>
      <rPr>
        <sz val="9"/>
        <rFont val="Noto Sans CJK SC"/>
        <family val="2"/>
      </rPr>
      <t xml:space="preserve">웰이엔씨</t>
    </r>
    <r>
      <rPr>
        <sz val="9"/>
        <rFont val="맑은 고딕"/>
        <family val="0"/>
        <charset val="1"/>
      </rPr>
      <t xml:space="preserve">/GD1802-01-</t>
    </r>
    <r>
      <rPr>
        <sz val="9"/>
        <rFont val="Noto Sans CJK SC"/>
        <family val="2"/>
      </rPr>
      <t xml:space="preserve">진공건조기</t>
    </r>
  </si>
  <si>
    <t xml:space="preserve">DOOR COVER.dwg</t>
  </si>
  <si>
    <t xml:space="preserve">2018-04-30</t>
  </si>
  <si>
    <t xml:space="preserve">GD1802-0101L1.dwg</t>
  </si>
  <si>
    <t xml:space="preserve">2018-04-12</t>
  </si>
  <si>
    <t xml:space="preserve">GD180201-00-door.dwg</t>
  </si>
  <si>
    <t xml:space="preserve">2018-05-03</t>
  </si>
  <si>
    <t xml:space="preserve">GD180201-00.dwg</t>
  </si>
  <si>
    <t xml:space="preserve">2018-02-02</t>
  </si>
  <si>
    <t xml:space="preserve">GD180201-00A.dwg</t>
  </si>
  <si>
    <t xml:space="preserve">2018-08-13</t>
  </si>
  <si>
    <t xml:space="preserve">GD180201-01L.dwg</t>
  </si>
  <si>
    <t xml:space="preserve">GD180201-01L2.dwg</t>
  </si>
  <si>
    <t xml:space="preserve">2018-04-10</t>
  </si>
  <si>
    <t xml:space="preserve">GD180201-01L3.dwg</t>
  </si>
  <si>
    <t xml:space="preserve">2018-05-07</t>
  </si>
  <si>
    <t xml:space="preserve">GD180201-02.dwg</t>
  </si>
  <si>
    <t xml:space="preserve">GD180201-02AL.dwg</t>
  </si>
  <si>
    <t xml:space="preserve">2018-05-23</t>
  </si>
  <si>
    <t xml:space="preserve">GD180201-02BL.dwg</t>
  </si>
  <si>
    <t xml:space="preserve">GD180201-03.dwg</t>
  </si>
  <si>
    <t xml:space="preserve">GD180201-03W.dwg</t>
  </si>
  <si>
    <t xml:space="preserve">nife.dwg</t>
  </si>
  <si>
    <t xml:space="preserve">2018-04-17</t>
  </si>
  <si>
    <r>
      <rPr>
        <sz val="9"/>
        <rFont val="Noto Sans CJK SC"/>
        <family val="2"/>
      </rPr>
      <t xml:space="preserve">다이</t>
    </r>
    <r>
      <rPr>
        <sz val="9"/>
        <rFont val="맑은 고딕"/>
        <family val="0"/>
        <charset val="1"/>
      </rPr>
      <t xml:space="preserve">-20180405.dwg</t>
    </r>
  </si>
  <si>
    <t xml:space="preserve">2018-04-06</t>
  </si>
  <si>
    <r>
      <rPr>
        <sz val="9"/>
        <rFont val="Noto Sans CJK SC"/>
        <family val="2"/>
      </rPr>
      <t xml:space="preserve">다이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</si>
  <si>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Noto Sans CJK SC"/>
        <family val="2"/>
      </rPr>
      <t xml:space="preserve">다이</t>
    </r>
    <r>
      <rPr>
        <sz val="9"/>
        <rFont val="맑은 고딕"/>
        <family val="0"/>
        <charset val="1"/>
      </rPr>
      <t xml:space="preserve">A.dwg</t>
    </r>
  </si>
  <si>
    <t xml:space="preserve">2018-04-26</t>
  </si>
  <si>
    <r>
      <rPr>
        <sz val="9"/>
        <rFont val="Noto Sans CJK SC"/>
        <family val="2"/>
      </rPr>
      <t xml:space="preserve">다이</t>
    </r>
    <r>
      <rPr>
        <sz val="9"/>
        <rFont val="맑은 고딕"/>
        <family val="0"/>
        <charset val="1"/>
      </rPr>
      <t xml:space="preserve">b.dwg</t>
    </r>
  </si>
  <si>
    <r>
      <rPr>
        <sz val="9"/>
        <rFont val="맑은 고딕"/>
        <family val="0"/>
        <charset val="1"/>
      </rPr>
      <t xml:space="preserve">18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/GD1802-</t>
    </r>
    <r>
      <rPr>
        <sz val="9"/>
        <rFont val="Noto Sans CJK SC"/>
        <family val="2"/>
      </rPr>
      <t xml:space="preserve">웰이엔씨</t>
    </r>
    <r>
      <rPr>
        <sz val="9"/>
        <rFont val="맑은 고딕"/>
        <family val="0"/>
        <charset val="1"/>
      </rPr>
      <t xml:space="preserve">/GD1802-01-</t>
    </r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부품</t>
    </r>
    <r>
      <rPr>
        <sz val="9"/>
        <rFont val="맑은 고딕"/>
        <family val="0"/>
        <charset val="1"/>
      </rPr>
      <t xml:space="preserve">6</t>
    </r>
  </si>
  <si>
    <r>
      <rPr>
        <sz val="9"/>
        <rFont val="Noto Sans CJK SC"/>
        <family val="2"/>
      </rPr>
      <t xml:space="preserve">부품</t>
    </r>
    <r>
      <rPr>
        <sz val="9"/>
        <rFont val="맑은 고딕"/>
        <family val="0"/>
        <charset val="1"/>
      </rPr>
      <t xml:space="preserve">6_Sheet_1.dwg</t>
    </r>
  </si>
  <si>
    <r>
      <rPr>
        <sz val="9"/>
        <rFont val="Noto Sans CJK SC"/>
        <family val="2"/>
      </rPr>
      <t xml:space="preserve">부품</t>
    </r>
    <r>
      <rPr>
        <sz val="9"/>
        <rFont val="맑은 고딕"/>
        <family val="0"/>
        <charset val="1"/>
      </rPr>
      <t xml:space="preserve">6_Sheet_2.dwg</t>
    </r>
  </si>
  <si>
    <r>
      <rPr>
        <sz val="9"/>
        <rFont val="맑은 고딕"/>
        <family val="0"/>
        <charset val="1"/>
      </rPr>
      <t xml:space="preserve">HSM-010-</t>
    </r>
    <r>
      <rPr>
        <sz val="9"/>
        <rFont val="Noto Sans CJK SC"/>
        <family val="2"/>
      </rPr>
      <t xml:space="preserve">리본형 진공건조기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지에스프랜텍</t>
    </r>
    <r>
      <rPr>
        <sz val="9"/>
        <rFont val="맑은 고딕"/>
        <family val="0"/>
        <charset val="1"/>
      </rPr>
      <t xml:space="preserve">-200128.dwg</t>
    </r>
  </si>
  <si>
    <t xml:space="preserve">2020-02-14</t>
  </si>
  <si>
    <r>
      <rPr>
        <sz val="9"/>
        <rFont val="맑은 고딕"/>
        <family val="0"/>
        <charset val="1"/>
      </rPr>
      <t xml:space="preserve">HSM-010-</t>
    </r>
    <r>
      <rPr>
        <sz val="9"/>
        <rFont val="Noto Sans CJK SC"/>
        <family val="2"/>
      </rPr>
      <t xml:space="preserve">리본형 진공건조기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지에스프랜텍</t>
    </r>
    <r>
      <rPr>
        <sz val="9"/>
        <rFont val="맑은 고딕"/>
        <family val="0"/>
        <charset val="1"/>
      </rPr>
      <t xml:space="preserve">.dwg</t>
    </r>
  </si>
  <si>
    <t xml:space="preserve">RIBBON TYPE VACUUM DRYER-200215A.dwg</t>
  </si>
  <si>
    <t xml:space="preserve">RIBBON TYPE VACUUM DRYER-200215B.dwg</t>
  </si>
  <si>
    <t xml:space="preserve">RIBBON TYPE VACUUM DRYER.dwg</t>
  </si>
  <si>
    <r>
      <rPr>
        <sz val="9"/>
        <rFont val="맑은 고딕"/>
        <family val="0"/>
        <charset val="1"/>
      </rPr>
      <t xml:space="preserve">GD170402-01-</t>
    </r>
    <r>
      <rPr>
        <sz val="9"/>
        <rFont val="Noto Sans CJK SC"/>
        <family val="2"/>
      </rPr>
      <t xml:space="preserve">콘베어</t>
    </r>
    <r>
      <rPr>
        <sz val="9"/>
        <rFont val="맑은 고딕"/>
        <family val="0"/>
        <charset val="1"/>
      </rPr>
      <t xml:space="preserve">-L.dwg</t>
    </r>
  </si>
  <si>
    <t xml:space="preserve">2017-12-01</t>
  </si>
  <si>
    <r>
      <rPr>
        <sz val="9"/>
        <rFont val="맑은 고딕"/>
        <family val="0"/>
        <charset val="1"/>
      </rPr>
      <t xml:space="preserve">GD170402-01-</t>
    </r>
    <r>
      <rPr>
        <sz val="9"/>
        <rFont val="Noto Sans CJK SC"/>
        <family val="2"/>
      </rPr>
      <t xml:space="preserve">콘베어</t>
    </r>
    <r>
      <rPr>
        <sz val="9"/>
        <rFont val="맑은 고딕"/>
        <family val="0"/>
        <charset val="1"/>
      </rPr>
      <t xml:space="preserve">-L1.dwg</t>
    </r>
  </si>
  <si>
    <t xml:space="preserve">2017-12-05</t>
  </si>
  <si>
    <r>
      <rPr>
        <sz val="9"/>
        <rFont val="맑은 고딕"/>
        <family val="0"/>
        <charset val="1"/>
      </rPr>
      <t xml:space="preserve">GD170402-01-</t>
    </r>
    <r>
      <rPr>
        <sz val="9"/>
        <rFont val="Noto Sans CJK SC"/>
        <family val="2"/>
      </rPr>
      <t xml:space="preserve">콘베어</t>
    </r>
    <r>
      <rPr>
        <sz val="9"/>
        <rFont val="맑은 고딕"/>
        <family val="0"/>
        <charset val="1"/>
      </rPr>
      <t xml:space="preserve">-L2.dwg</t>
    </r>
  </si>
  <si>
    <t xml:space="preserve">GD170402-01.dwg</t>
  </si>
  <si>
    <t xml:space="preserve">2017-11-11</t>
  </si>
  <si>
    <t xml:space="preserve">GD170402-02.dwg</t>
  </si>
  <si>
    <t xml:space="preserve">2017-11-15</t>
  </si>
  <si>
    <r>
      <rPr>
        <sz val="9"/>
        <rFont val="Noto Sans CJK SC"/>
        <family val="2"/>
      </rPr>
      <t xml:space="preserve">샌딩탱크 </t>
    </r>
    <r>
      <rPr>
        <sz val="9"/>
        <rFont val="맑은 고딕"/>
        <family val="0"/>
        <charset val="1"/>
      </rPr>
      <t xml:space="preserve">201700919.dwg</t>
    </r>
  </si>
  <si>
    <t xml:space="preserve">2017-10-13</t>
  </si>
  <si>
    <r>
      <rPr>
        <sz val="9"/>
        <rFont val="Noto Sans CJK SC"/>
        <family val="2"/>
      </rPr>
      <t xml:space="preserve">센딩기 </t>
    </r>
    <r>
      <rPr>
        <sz val="9"/>
        <rFont val="맑은 고딕"/>
        <family val="0"/>
        <charset val="1"/>
      </rPr>
      <t xml:space="preserve">201700919.dwg</t>
    </r>
  </si>
  <si>
    <t xml:space="preserve">2017-11-10</t>
  </si>
  <si>
    <t xml:space="preserve">포맷</t>
  </si>
  <si>
    <r>
      <rPr>
        <sz val="9"/>
        <rFont val="맑은 고딕"/>
        <family val="0"/>
        <charset val="1"/>
      </rPr>
      <t xml:space="preserve">18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/GD1802-</t>
    </r>
    <r>
      <rPr>
        <sz val="9"/>
        <rFont val="Noto Sans CJK SC"/>
        <family val="2"/>
      </rPr>
      <t xml:space="preserve">웰이엔씨</t>
    </r>
    <r>
      <rPr>
        <sz val="9"/>
        <rFont val="맑은 고딕"/>
        <family val="0"/>
        <charset val="1"/>
      </rPr>
      <t xml:space="preserve">/GD1802-02-</t>
    </r>
    <r>
      <rPr>
        <sz val="9"/>
        <rFont val="Noto Sans CJK SC"/>
        <family val="2"/>
      </rPr>
      <t xml:space="preserve">교반기</t>
    </r>
  </si>
  <si>
    <t xml:space="preserve">GD1605-01-000.cad</t>
  </si>
  <si>
    <t xml:space="preserve">.cad</t>
  </si>
  <si>
    <t xml:space="preserve">CADian V10.00</t>
  </si>
  <si>
    <t xml:space="preserve">2018-02-21</t>
  </si>
  <si>
    <r>
      <rPr>
        <sz val="9"/>
        <rFont val="맑은 고딕"/>
        <family val="0"/>
        <charset val="1"/>
      </rPr>
      <t xml:space="preserve">CADian</t>
    </r>
    <r>
      <rPr>
        <sz val="9"/>
        <rFont val="Noto Sans CJK SC"/>
        <family val="2"/>
      </rPr>
      <t xml:space="preserve">에서 </t>
    </r>
    <r>
      <rPr>
        <sz val="9"/>
        <rFont val="맑은 고딕"/>
        <family val="0"/>
        <charset val="1"/>
      </rPr>
      <t xml:space="preserve">DWG </t>
    </r>
    <r>
      <rPr>
        <sz val="9"/>
        <rFont val="Noto Sans CJK SC"/>
        <family val="2"/>
      </rPr>
      <t xml:space="preserve">변환 필요</t>
    </r>
  </si>
  <si>
    <t xml:space="preserve">PACKING.cad</t>
  </si>
  <si>
    <r>
      <rPr>
        <sz val="9"/>
        <rFont val="Noto Sans CJK SC"/>
        <family val="2"/>
      </rPr>
      <t xml:space="preserve">동일 </t>
    </r>
    <r>
      <rPr>
        <sz val="9"/>
        <rFont val="맑은 고딕"/>
        <family val="0"/>
        <charset val="1"/>
      </rPr>
      <t xml:space="preserve">DWG </t>
    </r>
    <r>
      <rPr>
        <sz val="9"/>
        <rFont val="Noto Sans CJK SC"/>
        <family val="2"/>
      </rPr>
      <t xml:space="preserve">존재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중복 </t>
    </r>
    <r>
      <rPr>
        <sz val="9"/>
        <rFont val="맑은 고딕"/>
        <family val="0"/>
        <charset val="1"/>
      </rPr>
      <t xml:space="preserve">- DWG </t>
    </r>
    <r>
      <rPr>
        <sz val="9"/>
        <rFont val="Noto Sans CJK SC"/>
        <family val="2"/>
      </rPr>
      <t xml:space="preserve">사용 권장</t>
    </r>
    <r>
      <rPr>
        <sz val="9"/>
        <rFont val="맑은 고딕"/>
        <family val="0"/>
        <charset val="1"/>
      </rPr>
      <t xml:space="preserve">)</t>
    </r>
  </si>
  <si>
    <t xml:space="preserve">GD160202-000DA.cad</t>
  </si>
  <si>
    <t xml:space="preserve">2018-09-04</t>
  </si>
  <si>
    <t xml:space="preserve">M145- clamp type-2018.11.07.cad</t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</si>
  <si>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.cad</t>
    </r>
  </si>
  <si>
    <t xml:space="preserve">2018-11-19</t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</si>
  <si>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A.cad</t>
    </r>
  </si>
  <si>
    <t xml:space="preserve">2020-10-27</t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</si>
  <si>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B-201027.cad</t>
    </r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</si>
  <si>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B-201027A.cad</t>
    </r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</si>
  <si>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B-201027B.cad</t>
    </r>
  </si>
  <si>
    <t xml:space="preserve">SAMPLE.cad</t>
  </si>
  <si>
    <t xml:space="preserve">PLATE.cad</t>
  </si>
  <si>
    <t xml:space="preserve">bucket-155.cad</t>
  </si>
  <si>
    <t xml:space="preserve">compress room.cad</t>
  </si>
  <si>
    <t xml:space="preserve">2017-12-12</t>
  </si>
  <si>
    <r>
      <rPr>
        <sz val="9"/>
        <rFont val="Noto Sans CJK SC"/>
        <family val="2"/>
      </rPr>
      <t xml:space="preserve">두루텍 허가도면</t>
    </r>
    <r>
      <rPr>
        <sz val="9"/>
        <rFont val="맑은 고딕"/>
        <family val="0"/>
        <charset val="1"/>
      </rPr>
      <t xml:space="preserve">2007-170916.cad</t>
    </r>
  </si>
  <si>
    <t xml:space="preserve">2017-12-11</t>
  </si>
  <si>
    <r>
      <rPr>
        <sz val="9"/>
        <rFont val="Noto Sans CJK SC"/>
        <family val="2"/>
      </rPr>
      <t xml:space="preserve">열교환기</t>
    </r>
    <r>
      <rPr>
        <sz val="9"/>
        <rFont val="맑은 고딕"/>
        <family val="0"/>
        <charset val="1"/>
      </rPr>
      <t xml:space="preserve">.cad</t>
    </r>
  </si>
  <si>
    <t xml:space="preserve">GD2003-07-00.cad</t>
  </si>
  <si>
    <t xml:space="preserve">GD2003-07-01.cad</t>
  </si>
  <si>
    <r>
      <rPr>
        <sz val="9"/>
        <rFont val="Noto Sans CJK SC"/>
        <family val="2"/>
      </rPr>
      <t xml:space="preserve">드라이브 유니트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툴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</si>
  <si>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Noto Sans CJK SC"/>
        <family val="2"/>
      </rPr>
      <t xml:space="preserve">드라이브 유니트</t>
    </r>
    <r>
      <rPr>
        <sz val="9"/>
        <rFont val="맑은 고딕"/>
        <family val="0"/>
        <charset val="1"/>
      </rPr>
      <t xml:space="preserve">.cad</t>
    </r>
  </si>
  <si>
    <t xml:space="preserve">2020-12-24</t>
  </si>
  <si>
    <t xml:space="preserve">Unnamed1.cad</t>
  </si>
  <si>
    <r>
      <rPr>
        <sz val="9"/>
        <rFont val="Noto Sans CJK SC"/>
        <family val="2"/>
      </rPr>
      <t xml:space="preserve">종근당 건강 부속 도면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</si>
  <si>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Noto Sans CJK SC"/>
        <family val="2"/>
      </rPr>
      <t xml:space="preserve">종근당 건강 부속 레이저</t>
    </r>
    <r>
      <rPr>
        <sz val="9"/>
        <rFont val="맑은 고딕"/>
        <family val="0"/>
        <charset val="1"/>
      </rPr>
      <t xml:space="preserve">.cad</t>
    </r>
  </si>
  <si>
    <t xml:space="preserve">GD2007-01 LASER.cad</t>
  </si>
  <si>
    <r>
      <rPr>
        <sz val="9"/>
        <rFont val="맑은 고딕"/>
        <family val="0"/>
        <charset val="1"/>
      </rPr>
      <t xml:space="preserve">GD2007-01 </t>
    </r>
    <r>
      <rPr>
        <sz val="9"/>
        <rFont val="Noto Sans CJK SC"/>
        <family val="2"/>
      </rPr>
      <t xml:space="preserve">압력용기 </t>
    </r>
    <r>
      <rPr>
        <sz val="9"/>
        <rFont val="맑은 고딕"/>
        <family val="0"/>
        <charset val="1"/>
      </rPr>
      <t xml:space="preserve">30L.cad</t>
    </r>
  </si>
  <si>
    <r>
      <rPr>
        <sz val="9"/>
        <rFont val="맑은 고딕"/>
        <family val="0"/>
        <charset val="1"/>
      </rPr>
      <t xml:space="preserve">GD2007-01 </t>
    </r>
    <r>
      <rPr>
        <sz val="9"/>
        <rFont val="Noto Sans CJK SC"/>
        <family val="2"/>
      </rPr>
      <t xml:space="preserve">압력용기 </t>
    </r>
    <r>
      <rPr>
        <sz val="9"/>
        <rFont val="맑은 고딕"/>
        <family val="0"/>
        <charset val="1"/>
      </rPr>
      <t xml:space="preserve">70L.cad</t>
    </r>
  </si>
  <si>
    <t xml:space="preserve">2020-06-23</t>
  </si>
  <si>
    <r>
      <rPr>
        <sz val="9"/>
        <rFont val="맑은 고딕"/>
        <family val="0"/>
        <charset val="1"/>
      </rPr>
      <t xml:space="preserve">GD2007-01 </t>
    </r>
    <r>
      <rPr>
        <sz val="9"/>
        <rFont val="Noto Sans CJK SC"/>
        <family val="2"/>
      </rPr>
      <t xml:space="preserve">압력용기 </t>
    </r>
    <r>
      <rPr>
        <sz val="9"/>
        <rFont val="맑은 고딕"/>
        <family val="0"/>
        <charset val="1"/>
      </rPr>
      <t xml:space="preserve">70L-</t>
    </r>
    <r>
      <rPr>
        <sz val="9"/>
        <rFont val="Noto Sans CJK SC"/>
        <family val="2"/>
      </rPr>
      <t xml:space="preserve">추가</t>
    </r>
    <r>
      <rPr>
        <sz val="9"/>
        <rFont val="맑은 고딕"/>
        <family val="0"/>
        <charset val="1"/>
      </rPr>
      <t xml:space="preserve">.cad</t>
    </r>
  </si>
  <si>
    <t xml:space="preserve">2020-11-04</t>
  </si>
  <si>
    <t xml:space="preserve">2020-05-25</t>
  </si>
  <si>
    <t xml:space="preserve">ESS-SP-01-7-R1-category-3.cad</t>
  </si>
  <si>
    <t xml:space="preserve">NF2-1610-SPIN-PACK-01.cad</t>
  </si>
  <si>
    <t xml:space="preserve">NF2-1610-SPIN-PACK-02.cad</t>
  </si>
  <si>
    <t xml:space="preserve">NF2-1610-SPIN-PACK-1.cad</t>
  </si>
  <si>
    <t xml:space="preserve">NF2-1610-SPIN-PACK.cad</t>
  </si>
  <si>
    <t xml:space="preserve">NF2-1610-SPIN-PACK-03.cad</t>
  </si>
  <si>
    <t xml:space="preserve">NF2-1610-SPIN-PACK-05.cad</t>
  </si>
  <si>
    <t xml:space="preserve">NF2-1610-SPIN-PACK-06.cad</t>
  </si>
  <si>
    <t xml:space="preserve">NF2-1610-SPIN-PACK-06A.cad</t>
  </si>
  <si>
    <t xml:space="preserve">NF2-1610-SPIN-PACK-06B.cad</t>
  </si>
  <si>
    <t xml:space="preserve">2021-03-08</t>
  </si>
  <si>
    <t xml:space="preserve">NF2-1610-SPIN-PACK-07.cad</t>
  </si>
  <si>
    <t xml:space="preserve">10lt nutsche filter-160907.cad</t>
  </si>
  <si>
    <t xml:space="preserve">10lt nutsche filter-160907A.cad</t>
  </si>
  <si>
    <t xml:space="preserve">GD160803-01-00.cad</t>
  </si>
  <si>
    <t xml:space="preserve">2017-02-13</t>
  </si>
  <si>
    <t xml:space="preserve">GD160803-01-01.cad</t>
  </si>
  <si>
    <t xml:space="preserve">GD160803-01-01A.cad</t>
  </si>
  <si>
    <t xml:space="preserve">GD160803-01-02.cad</t>
  </si>
  <si>
    <t xml:space="preserve">GD160803-LASER-1.cad</t>
  </si>
  <si>
    <t xml:space="preserve">GD160803-LASER.cad</t>
  </si>
  <si>
    <t xml:space="preserve">GD160803-nutsche filter-10L.cad</t>
  </si>
  <si>
    <t xml:space="preserve">Dec062016_GD160805-00-00A_bak.cad</t>
  </si>
  <si>
    <t xml:space="preserve">GD160805-00-00.cad</t>
  </si>
  <si>
    <t xml:space="preserve">2016-11-18</t>
  </si>
  <si>
    <t xml:space="preserve">GD160805-00-00A.cad</t>
  </si>
  <si>
    <t xml:space="preserve">GD160805-00-00B-190510.cad</t>
  </si>
  <si>
    <t xml:space="preserve">2019-05-10</t>
  </si>
  <si>
    <t xml:space="preserve">GD160805-00-00B.cad</t>
  </si>
  <si>
    <t xml:space="preserve">2017-05-24</t>
  </si>
  <si>
    <t xml:space="preserve">GD160805-00-01-LASER.cad</t>
  </si>
  <si>
    <t xml:space="preserve">GD160805-00-01-LASER2.cad</t>
  </si>
  <si>
    <t xml:space="preserve">GD160805-00-01-LASER3.cad</t>
  </si>
  <si>
    <t xml:space="preserve">GD160805-00-01-LASER4.cad</t>
  </si>
  <si>
    <t xml:space="preserve">GD160805-00-01-LASER5.cad</t>
  </si>
  <si>
    <t xml:space="preserve">GD160805-00-01-LASER6.cad</t>
  </si>
  <si>
    <t xml:space="preserve">GD160805-00-01-LASER8.cad</t>
  </si>
  <si>
    <t xml:space="preserve">GD160805-00-01.cad</t>
  </si>
  <si>
    <t xml:space="preserve">2017-03-30</t>
  </si>
  <si>
    <t xml:space="preserve">GD160805-00-02.cad</t>
  </si>
  <si>
    <t xml:space="preserve">2017-01-03</t>
  </si>
  <si>
    <t xml:space="preserve">GD160805-00-03-LASER.cad</t>
  </si>
  <si>
    <t xml:space="preserve">GD160805-00-03.cad</t>
  </si>
  <si>
    <t xml:space="preserve">GD160805-00-03A.cad</t>
  </si>
  <si>
    <t xml:space="preserve">GD2003-02-00-100L-A.cad</t>
  </si>
  <si>
    <t xml:space="preserve">GD2003-02-00-100L-B.cad</t>
  </si>
  <si>
    <t xml:space="preserve">GD2003-02-00-100L-BB.cad</t>
  </si>
  <si>
    <t xml:space="preserve">GD2003-02-00-100L-C.cad</t>
  </si>
  <si>
    <t xml:space="preserve">2020-09-28</t>
  </si>
  <si>
    <t xml:space="preserve">GD2003-02-00-100L-D.cad</t>
  </si>
  <si>
    <t xml:space="preserve">GD2003-02-00-100L-E.cad</t>
  </si>
  <si>
    <t xml:space="preserve">GD2003-02-00-100L.cad</t>
  </si>
  <si>
    <t xml:space="preserve">GD2003-02-01-100L-D.cad</t>
  </si>
  <si>
    <t xml:space="preserve">GD2003-02-02-100L-D.cad</t>
  </si>
  <si>
    <t xml:space="preserve">GD2003-02-03-100L-D.cad</t>
  </si>
  <si>
    <t xml:space="preserve">GD2003-02-04-100L-D.cad</t>
  </si>
  <si>
    <t xml:space="preserve">GD2003-02-05-100L-D.cad</t>
  </si>
  <si>
    <r>
      <rPr>
        <sz val="9"/>
        <rFont val="맑은 고딕"/>
        <family val="0"/>
        <charset val="1"/>
      </rPr>
      <t xml:space="preserve">GD2005-04-04-00-</t>
    </r>
    <r>
      <rPr>
        <sz val="9"/>
        <rFont val="Noto Sans CJK SC"/>
        <family val="2"/>
      </rPr>
      <t xml:space="preserve">명판</t>
    </r>
    <r>
      <rPr>
        <sz val="9"/>
        <rFont val="맑은 고딕"/>
        <family val="0"/>
        <charset val="1"/>
      </rPr>
      <t xml:space="preserve">.cad</t>
    </r>
  </si>
  <si>
    <t xml:space="preserve">2020-10-15</t>
  </si>
  <si>
    <t xml:space="preserve">Sep112020_GD160805-00-00B-190510_bak.cad</t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</si>
  <si>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40L-1123-02.cad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</si>
  <si>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40L-1123-03.cad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</si>
  <si>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40L-1123.cad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</si>
  <si>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40L-A.cad</t>
    </r>
  </si>
  <si>
    <t xml:space="preserve">2021-01-14</t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</si>
  <si>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</t>
    </r>
    <r>
      <rPr>
        <sz val="9"/>
        <rFont val="Noto Sans CJK SC"/>
        <family val="2"/>
      </rPr>
      <t xml:space="preserve">경판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</si>
  <si>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</t>
    </r>
    <r>
      <rPr>
        <sz val="9"/>
        <rFont val="Noto Sans CJK SC"/>
        <family val="2"/>
      </rPr>
      <t xml:space="preserve">다공판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</si>
  <si>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</t>
    </r>
    <r>
      <rPr>
        <sz val="9"/>
        <rFont val="Noto Sans CJK SC"/>
        <family val="2"/>
      </rPr>
      <t xml:space="preserve">투시창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</si>
  <si>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</t>
    </r>
    <r>
      <rPr>
        <sz val="9"/>
        <rFont val="Noto Sans CJK SC"/>
        <family val="2"/>
      </rPr>
      <t xml:space="preserve">투시창</t>
    </r>
    <r>
      <rPr>
        <sz val="9"/>
        <rFont val="맑은 고딕"/>
        <family val="0"/>
        <charset val="1"/>
      </rPr>
      <t xml:space="preserve">L.cad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</si>
  <si>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</t>
    </r>
    <r>
      <rPr>
        <sz val="9"/>
        <rFont val="Noto Sans CJK SC"/>
        <family val="2"/>
      </rPr>
      <t xml:space="preserve">투시창</t>
    </r>
    <r>
      <rPr>
        <sz val="9"/>
        <rFont val="맑은 고딕"/>
        <family val="0"/>
        <charset val="1"/>
      </rPr>
      <t xml:space="preserve">LT.cad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</si>
  <si>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40L.cad</t>
    </r>
  </si>
  <si>
    <t xml:space="preserve">2022-07-19</t>
  </si>
  <si>
    <r>
      <rPr>
        <sz val="9"/>
        <rFont val="맑은 고딕"/>
        <family val="0"/>
        <charset val="1"/>
      </rPr>
      <t xml:space="preserve">Nov152020_GD2003-03-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40L_bak.cad</t>
    </r>
  </si>
  <si>
    <t xml:space="preserve">2020-11-15</t>
  </si>
  <si>
    <r>
      <rPr>
        <sz val="9"/>
        <rFont val="맑은 고딕"/>
        <family val="0"/>
        <charset val="1"/>
      </rPr>
      <t xml:space="preserve">WE-MU-20-0079 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40Lt nutsche agitator filter-201015.cad</t>
    </r>
  </si>
  <si>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40Lt nutsche agitator filter.cad</t>
    </r>
  </si>
  <si>
    <t xml:space="preserve">2020-10-19</t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</si>
  <si>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/GD2003-00 </t>
    </r>
    <r>
      <rPr>
        <sz val="9"/>
        <rFont val="Noto Sans CJK SC"/>
        <family val="2"/>
      </rPr>
      <t xml:space="preserve">웰이엔씨</t>
    </r>
    <r>
      <rPr>
        <sz val="9"/>
        <rFont val="맑은 고딕"/>
        <family val="0"/>
        <charset val="1"/>
      </rPr>
      <t xml:space="preserve">/GD2003-03-</t>
    </r>
    <r>
      <rPr>
        <sz val="9"/>
        <rFont val="Noto Sans CJK SC"/>
        <family val="2"/>
      </rPr>
      <t xml:space="preserve">비나텍 누체필터 </t>
    </r>
    <r>
      <rPr>
        <sz val="9"/>
        <rFont val="맑은 고딕"/>
        <family val="0"/>
        <charset val="1"/>
      </rPr>
      <t xml:space="preserve">40L/</t>
    </r>
    <r>
      <rPr>
        <sz val="9"/>
        <rFont val="Noto Sans CJK SC"/>
        <family val="2"/>
      </rPr>
      <t xml:space="preserve">참고도면</t>
    </r>
  </si>
  <si>
    <t xml:space="preserve">3.CONDENSER-10M.cad</t>
  </si>
  <si>
    <t xml:space="preserve">2019-08-23</t>
  </si>
  <si>
    <r>
      <rPr>
        <sz val="9"/>
        <rFont val="맑은 고딕"/>
        <family val="0"/>
        <charset val="1"/>
      </rPr>
      <t xml:space="preserve">SJ1901-01-03 </t>
    </r>
    <r>
      <rPr>
        <sz val="9"/>
        <rFont val="Noto Sans CJK SC"/>
        <family val="2"/>
      </rPr>
      <t xml:space="preserve">리시버탱크 투시창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</si>
  <si>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SJ1901-01-03 </t>
    </r>
    <r>
      <rPr>
        <sz val="9"/>
        <rFont val="Noto Sans CJK SC"/>
        <family val="2"/>
      </rPr>
      <t xml:space="preserve">리시버탱크</t>
    </r>
    <r>
      <rPr>
        <sz val="9"/>
        <rFont val="맑은 고딕"/>
        <family val="0"/>
        <charset val="1"/>
      </rPr>
      <t xml:space="preserve">.cad</t>
    </r>
  </si>
  <si>
    <t xml:space="preserve">2019-06-03</t>
  </si>
  <si>
    <r>
      <rPr>
        <sz val="9"/>
        <rFont val="Noto Sans CJK SC"/>
        <family val="2"/>
      </rPr>
      <t xml:space="preserve">파이프배관커버</t>
    </r>
    <r>
      <rPr>
        <sz val="9"/>
        <rFont val="맑은 고딕"/>
        <family val="0"/>
        <charset val="1"/>
      </rPr>
      <t xml:space="preserve">.cad</t>
    </r>
  </si>
  <si>
    <t xml:space="preserve">2019-06-13</t>
  </si>
  <si>
    <r>
      <rPr>
        <sz val="9"/>
        <rFont val="Noto Sans CJK SC"/>
        <family val="2"/>
      </rPr>
      <t xml:space="preserve">리시버 </t>
    </r>
    <r>
      <rPr>
        <sz val="9"/>
        <rFont val="맑은 고딕"/>
        <family val="0"/>
        <charset val="1"/>
      </rPr>
      <t xml:space="preserve">ST-01-00.cad</t>
    </r>
  </si>
  <si>
    <r>
      <rPr>
        <sz val="9"/>
        <rFont val="맑은 고딕"/>
        <family val="0"/>
        <charset val="1"/>
      </rPr>
      <t xml:space="preserve">17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/GD1706-</t>
    </r>
    <r>
      <rPr>
        <sz val="9"/>
        <rFont val="Noto Sans CJK SC"/>
        <family val="2"/>
      </rPr>
      <t xml:space="preserve">웰이엔시</t>
    </r>
    <r>
      <rPr>
        <sz val="9"/>
        <rFont val="맑은 고딕"/>
        <family val="0"/>
        <charset val="1"/>
      </rPr>
      <t xml:space="preserve">/GD170601-</t>
    </r>
    <r>
      <rPr>
        <sz val="9"/>
        <rFont val="Noto Sans CJK SC"/>
        <family val="2"/>
      </rPr>
      <t xml:space="preserve">리시버탱크</t>
    </r>
  </si>
  <si>
    <r>
      <rPr>
        <sz val="9"/>
        <rFont val="맑은 고딕"/>
        <family val="0"/>
        <charset val="1"/>
      </rPr>
      <t xml:space="preserve">GD170601-00-</t>
    </r>
    <r>
      <rPr>
        <sz val="9"/>
        <rFont val="Noto Sans CJK SC"/>
        <family val="2"/>
      </rPr>
      <t xml:space="preserve">리시버탱크</t>
    </r>
    <r>
      <rPr>
        <sz val="9"/>
        <rFont val="맑은 고딕"/>
        <family val="0"/>
        <charset val="1"/>
      </rPr>
      <t xml:space="preserve">.cad</t>
    </r>
  </si>
  <si>
    <t xml:space="preserve">2017-07-26</t>
  </si>
  <si>
    <r>
      <rPr>
        <sz val="9"/>
        <rFont val="맑은 고딕"/>
        <family val="0"/>
        <charset val="1"/>
      </rPr>
      <t xml:space="preserve">GD170601-00-</t>
    </r>
    <r>
      <rPr>
        <sz val="9"/>
        <rFont val="Noto Sans CJK SC"/>
        <family val="2"/>
      </rPr>
      <t xml:space="preserve">리시버탱크</t>
    </r>
    <r>
      <rPr>
        <sz val="9"/>
        <rFont val="맑은 고딕"/>
        <family val="0"/>
        <charset val="1"/>
      </rPr>
      <t xml:space="preserve">A.cad</t>
    </r>
  </si>
  <si>
    <t xml:space="preserve">2017-07-31</t>
  </si>
  <si>
    <r>
      <rPr>
        <sz val="9"/>
        <rFont val="Noto Sans CJK SC"/>
        <family val="2"/>
      </rPr>
      <t xml:space="preserve">한농화성 </t>
    </r>
    <r>
      <rPr>
        <sz val="9"/>
        <rFont val="맑은 고딕"/>
        <family val="0"/>
        <charset val="1"/>
      </rPr>
      <t xml:space="preserve">Receiver 50 - </t>
    </r>
    <r>
      <rPr>
        <sz val="9"/>
        <rFont val="Noto Sans CJK SC"/>
        <family val="2"/>
      </rPr>
      <t xml:space="preserve">경동글로벌텍</t>
    </r>
    <r>
      <rPr>
        <sz val="9"/>
        <rFont val="맑은 고딕"/>
        <family val="0"/>
        <charset val="1"/>
      </rPr>
      <t xml:space="preserve">.cad</t>
    </r>
  </si>
  <si>
    <t xml:space="preserve">2017-11-17</t>
  </si>
  <si>
    <r>
      <rPr>
        <sz val="9"/>
        <rFont val="맑은 고딕"/>
        <family val="0"/>
        <charset val="1"/>
      </rPr>
      <t xml:space="preserve">GD1904-01V-00 </t>
    </r>
    <r>
      <rPr>
        <sz val="9"/>
        <rFont val="Noto Sans CJK SC"/>
        <family val="2"/>
      </rPr>
      <t xml:space="preserve">리시버탱크 레이저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</si>
  <si>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GD1904-01V-00 </t>
    </r>
    <r>
      <rPr>
        <sz val="9"/>
        <rFont val="Noto Sans CJK SC"/>
        <family val="2"/>
      </rPr>
      <t xml:space="preserve">리시버탱크 명판브리켓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</si>
  <si>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GD1904-01V-00 </t>
    </r>
    <r>
      <rPr>
        <sz val="9"/>
        <rFont val="Noto Sans CJK SC"/>
        <family val="2"/>
      </rPr>
      <t xml:space="preserve">리시버탱크 물 빋침대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</si>
  <si>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GD1904-01V-00 </t>
    </r>
    <r>
      <rPr>
        <sz val="9"/>
        <rFont val="Noto Sans CJK SC"/>
        <family val="2"/>
      </rPr>
      <t xml:space="preserve">리시버탱크</t>
    </r>
    <r>
      <rPr>
        <sz val="9"/>
        <rFont val="맑은 고딕"/>
        <family val="0"/>
        <charset val="1"/>
      </rPr>
      <t xml:space="preserve">.cad</t>
    </r>
  </si>
  <si>
    <t xml:space="preserve">2019-06-27</t>
  </si>
  <si>
    <r>
      <rPr>
        <sz val="9"/>
        <rFont val="맑은 고딕"/>
        <family val="0"/>
        <charset val="1"/>
      </rPr>
      <t xml:space="preserve">GD1904-01V-00 </t>
    </r>
    <r>
      <rPr>
        <sz val="9"/>
        <rFont val="Noto Sans CJK SC"/>
        <family val="2"/>
      </rPr>
      <t xml:space="preserve">리시버탱크</t>
    </r>
    <r>
      <rPr>
        <sz val="9"/>
        <rFont val="맑은 고딕"/>
        <family val="0"/>
        <charset val="1"/>
      </rPr>
      <t xml:space="preserve">A-1.cad</t>
    </r>
  </si>
  <si>
    <r>
      <rPr>
        <sz val="9"/>
        <rFont val="맑은 고딕"/>
        <family val="0"/>
        <charset val="1"/>
      </rPr>
      <t xml:space="preserve">GD1904-01V-00 </t>
    </r>
    <r>
      <rPr>
        <sz val="9"/>
        <rFont val="Noto Sans CJK SC"/>
        <family val="2"/>
      </rPr>
      <t xml:space="preserve">리시버탱크</t>
    </r>
    <r>
      <rPr>
        <sz val="9"/>
        <rFont val="맑은 고딕"/>
        <family val="0"/>
        <charset val="1"/>
      </rPr>
      <t xml:space="preserve">A.cad</t>
    </r>
  </si>
  <si>
    <t xml:space="preserve">SJ1904-01H-RECEIVER TANK 0.5M.cad</t>
  </si>
  <si>
    <t xml:space="preserve">2019-05-02</t>
  </si>
  <si>
    <t xml:space="preserve">SJ1904-01V-RECEIVER TANK 0.5M.cad</t>
  </si>
  <si>
    <t xml:space="preserve">SJ1904-01V-RECEIVER TANK 0.5MA.cad</t>
  </si>
  <si>
    <t xml:space="preserve">SJ1904-01V-RECEIVER TANK 0.5MB.cad</t>
  </si>
  <si>
    <t xml:space="preserve">2019-06-21</t>
  </si>
  <si>
    <t xml:space="preserve">SJ1904-02H-RECEIVER TANK 20L.cad</t>
  </si>
  <si>
    <r>
      <rPr>
        <sz val="9"/>
        <rFont val="맑은 고딕"/>
        <family val="0"/>
        <charset val="1"/>
      </rPr>
      <t xml:space="preserve">SJ1904-02H-RECEIVER TANK </t>
    </r>
    <r>
      <rPr>
        <sz val="9"/>
        <rFont val="Noto Sans CJK SC"/>
        <family val="2"/>
      </rPr>
      <t xml:space="preserve">재료 절단 </t>
    </r>
    <r>
      <rPr>
        <sz val="9"/>
        <rFont val="맑은 고딕"/>
        <family val="0"/>
        <charset val="1"/>
      </rPr>
      <t xml:space="preserve">.cad</t>
    </r>
  </si>
  <si>
    <t xml:space="preserve">WEC-KISCO-TN7200-20190510.cad</t>
  </si>
  <si>
    <r>
      <rPr>
        <sz val="9"/>
        <rFont val="Noto Sans CJK SC"/>
        <family val="2"/>
      </rPr>
      <t xml:space="preserve">레벨 가이드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</si>
  <si>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Noto Sans CJK SC"/>
        <family val="2"/>
      </rPr>
      <t xml:space="preserve">레벨 가이드</t>
    </r>
    <r>
      <rPr>
        <sz val="9"/>
        <rFont val="맑은 고딕"/>
        <family val="0"/>
        <charset val="1"/>
      </rPr>
      <t xml:space="preserve">2.cad</t>
    </r>
  </si>
  <si>
    <t xml:space="preserve">GD2005-04-01-00.cad</t>
  </si>
  <si>
    <t xml:space="preserve">GD2005-04-01-00A.cad</t>
  </si>
  <si>
    <t xml:space="preserve">GD2005-04-01-00B.cad</t>
  </si>
  <si>
    <t xml:space="preserve">GD2005-04-01-01.cad</t>
  </si>
  <si>
    <t xml:space="preserve">2020-03-29</t>
  </si>
  <si>
    <t xml:space="preserve">GD2005-04-01-01A.cad</t>
  </si>
  <si>
    <t xml:space="preserve">2026-05-14</t>
  </si>
  <si>
    <t xml:space="preserve">GD2005-04-01-02-LADDER.cad</t>
  </si>
  <si>
    <t xml:space="preserve">2020-03-30</t>
  </si>
  <si>
    <t xml:space="preserve">GD2005-04-02-00-FRAME COVER.cad</t>
  </si>
  <si>
    <t xml:space="preserve">GD2005-04-02-00-FRAME.cad</t>
  </si>
  <si>
    <t xml:space="preserve">GD2005-04-02-01-MOTOR BASE.cad</t>
  </si>
  <si>
    <t xml:space="preserve">GD2005-04-02-02-V-BELT PULLEY cover.cad</t>
  </si>
  <si>
    <t xml:space="preserve">GD2005-04-02-02-V-BELT PULLEY.cad</t>
  </si>
  <si>
    <t xml:space="preserve">GD2005-04-02-03-LADDER.cad</t>
  </si>
  <si>
    <t xml:space="preserve">2020-04-28</t>
  </si>
  <si>
    <t xml:space="preserve">GD2005-04-03-00-LOWER DAMPER-a.cad</t>
  </si>
  <si>
    <t xml:space="preserve">GD2005-04-03-00-LOWER DAMPER.cad</t>
  </si>
  <si>
    <r>
      <rPr>
        <sz val="9"/>
        <rFont val="맑은 고딕"/>
        <family val="0"/>
        <charset val="1"/>
      </rPr>
      <t xml:space="preserve">GD2005-04-03-00-</t>
    </r>
    <r>
      <rPr>
        <sz val="9"/>
        <rFont val="Noto Sans CJK SC"/>
        <family val="2"/>
      </rPr>
      <t xml:space="preserve">하부댐퍼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</si>
  <si>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GD2005-04-03-00-</t>
    </r>
    <r>
      <rPr>
        <sz val="9"/>
        <rFont val="Noto Sans CJK SC"/>
        <family val="2"/>
      </rPr>
      <t xml:space="preserve">하부댐퍼</t>
    </r>
    <r>
      <rPr>
        <sz val="9"/>
        <rFont val="맑은 고딕"/>
        <family val="0"/>
        <charset val="1"/>
      </rPr>
      <t xml:space="preserve">A.cad</t>
    </r>
  </si>
  <si>
    <t xml:space="preserve">GD2005-04-03-01-LOWER DAMPER.cad</t>
  </si>
  <si>
    <t xml:space="preserve">GD2005-04-03-02-LOWER DAMPER.cad</t>
  </si>
  <si>
    <r>
      <rPr>
        <sz val="9"/>
        <rFont val="맑은 고딕"/>
        <family val="0"/>
        <charset val="1"/>
      </rPr>
      <t xml:space="preserve">GD2005-04-04-00-</t>
    </r>
    <r>
      <rPr>
        <sz val="9"/>
        <rFont val="Noto Sans CJK SC"/>
        <family val="2"/>
      </rPr>
      <t xml:space="preserve">상부 도어 힌지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</si>
  <si>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GD2005-04-04-00-</t>
    </r>
    <r>
      <rPr>
        <sz val="9"/>
        <rFont val="Noto Sans CJK SC"/>
        <family val="2"/>
      </rPr>
      <t xml:space="preserve">상부 도어 힌지판</t>
    </r>
    <r>
      <rPr>
        <sz val="9"/>
        <rFont val="맑은 고딕"/>
        <family val="0"/>
        <charset val="1"/>
      </rPr>
      <t xml:space="preserve">.cad</t>
    </r>
  </si>
  <si>
    <t xml:space="preserve">GD2005-04-05-00-shaft.cad</t>
  </si>
  <si>
    <t xml:space="preserve">2020-07-17</t>
  </si>
  <si>
    <r>
      <rPr>
        <sz val="9"/>
        <rFont val="맑은 고딕"/>
        <family val="0"/>
        <charset val="1"/>
      </rPr>
      <t xml:space="preserve">KK2001-03-00 </t>
    </r>
    <r>
      <rPr>
        <sz val="9"/>
        <rFont val="Noto Sans CJK SC"/>
        <family val="2"/>
      </rPr>
      <t xml:space="preserve">리본혼합기</t>
    </r>
    <r>
      <rPr>
        <sz val="9"/>
        <rFont val="맑은 고딕"/>
        <family val="0"/>
        <charset val="1"/>
      </rPr>
      <t xml:space="preserve">(200108).cad</t>
    </r>
  </si>
  <si>
    <t xml:space="preserve">MAN HOLE 7022-300.cad</t>
  </si>
  <si>
    <t xml:space="preserve">2021-06-14</t>
  </si>
  <si>
    <r>
      <rPr>
        <sz val="9"/>
        <rFont val="Noto Sans CJK SC"/>
        <family val="2"/>
      </rPr>
      <t xml:space="preserve">렌지 세정액 조제 탱크</t>
    </r>
    <r>
      <rPr>
        <sz val="9"/>
        <rFont val="맑은 고딕"/>
        <family val="0"/>
        <charset val="1"/>
      </rPr>
      <t xml:space="preserve">A.cad</t>
    </r>
  </si>
  <si>
    <r>
      <rPr>
        <sz val="9"/>
        <rFont val="Noto Sans CJK SC"/>
        <family val="2"/>
      </rPr>
      <t xml:space="preserve">리본믹서용 감속기 </t>
    </r>
    <r>
      <rPr>
        <sz val="9"/>
        <rFont val="맑은 고딕"/>
        <family val="0"/>
        <charset val="1"/>
      </rPr>
      <t xml:space="preserve">MX155WB000NNB-001-R0.cad</t>
    </r>
  </si>
  <si>
    <r>
      <rPr>
        <sz val="9"/>
        <rFont val="Noto Sans CJK SC"/>
        <family val="2"/>
      </rPr>
      <t xml:space="preserve">웜감속기 </t>
    </r>
    <r>
      <rPr>
        <sz val="9"/>
        <rFont val="맑은 고딕"/>
        <family val="0"/>
        <charset val="1"/>
      </rPr>
      <t xml:space="preserve">MX155WB000NNB-001-R0.cad</t>
    </r>
  </si>
  <si>
    <t xml:space="preserve">BUFFLE.cad</t>
  </si>
  <si>
    <r>
      <rPr>
        <sz val="9"/>
        <rFont val="맑은 고딕"/>
        <family val="0"/>
        <charset val="1"/>
      </rPr>
      <t xml:space="preserve">GD150603-</t>
    </r>
    <r>
      <rPr>
        <sz val="9"/>
        <rFont val="Noto Sans CJK SC"/>
        <family val="2"/>
      </rPr>
      <t xml:space="preserve">반응기</t>
    </r>
    <r>
      <rPr>
        <sz val="9"/>
        <rFont val="맑은 고딕"/>
        <family val="0"/>
        <charset val="1"/>
      </rPr>
      <t xml:space="preserve">30L-A.cad</t>
    </r>
  </si>
  <si>
    <r>
      <rPr>
        <sz val="9"/>
        <rFont val="맑은 고딕"/>
        <family val="0"/>
        <charset val="1"/>
      </rPr>
      <t xml:space="preserve">GD150603-</t>
    </r>
    <r>
      <rPr>
        <sz val="9"/>
        <rFont val="Noto Sans CJK SC"/>
        <family val="2"/>
      </rPr>
      <t xml:space="preserve">반응기</t>
    </r>
    <r>
      <rPr>
        <sz val="9"/>
        <rFont val="맑은 고딕"/>
        <family val="0"/>
        <charset val="1"/>
      </rPr>
      <t xml:space="preserve">30L.cad</t>
    </r>
  </si>
  <si>
    <t xml:space="preserve">2016-10-11</t>
  </si>
  <si>
    <r>
      <rPr>
        <sz val="9"/>
        <rFont val="맑은 고딕"/>
        <family val="0"/>
        <charset val="1"/>
      </rPr>
      <t xml:space="preserve">GD160802-01-00-</t>
    </r>
    <r>
      <rPr>
        <sz val="9"/>
        <rFont val="Noto Sans CJK SC"/>
        <family val="2"/>
      </rPr>
      <t xml:space="preserve">반응기</t>
    </r>
    <r>
      <rPr>
        <sz val="9"/>
        <rFont val="맑은 고딕"/>
        <family val="0"/>
        <charset val="1"/>
      </rPr>
      <t xml:space="preserve">30L.cad</t>
    </r>
  </si>
  <si>
    <t xml:space="preserve">2016-11-30</t>
  </si>
  <si>
    <r>
      <rPr>
        <sz val="9"/>
        <rFont val="맑은 고딕"/>
        <family val="0"/>
        <charset val="1"/>
      </rPr>
      <t xml:space="preserve">GD160802-</t>
    </r>
    <r>
      <rPr>
        <sz val="9"/>
        <rFont val="Noto Sans CJK SC"/>
        <family val="2"/>
      </rPr>
      <t xml:space="preserve">반응기</t>
    </r>
    <r>
      <rPr>
        <sz val="9"/>
        <rFont val="맑은 고딕"/>
        <family val="0"/>
        <charset val="1"/>
      </rPr>
      <t xml:space="preserve">30L.cad</t>
    </r>
  </si>
  <si>
    <r>
      <rPr>
        <sz val="9"/>
        <rFont val="맑은 고딕"/>
        <family val="0"/>
        <charset val="1"/>
      </rPr>
      <t xml:space="preserve">GD160802-</t>
    </r>
    <r>
      <rPr>
        <sz val="9"/>
        <rFont val="Noto Sans CJK SC"/>
        <family val="2"/>
      </rPr>
      <t xml:space="preserve">반응기</t>
    </r>
    <r>
      <rPr>
        <sz val="9"/>
        <rFont val="맑은 고딕"/>
        <family val="0"/>
        <charset val="1"/>
      </rPr>
      <t xml:space="preserve">30L1.cad</t>
    </r>
  </si>
  <si>
    <t xml:space="preserve">RT03EQ01A-NN130923.cad</t>
  </si>
  <si>
    <r>
      <rPr>
        <sz val="9"/>
        <rFont val="맑은 고딕"/>
        <family val="0"/>
        <charset val="1"/>
      </rPr>
      <t xml:space="preserve">GD2003-06-00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</si>
  <si>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GD2003-06-00A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</si>
  <si>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GD2003-06-00A11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</si>
  <si>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GD2003-06-00B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</si>
  <si>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GD2003-06-00C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</si>
  <si>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GD2003-06-01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</si>
  <si>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GD2003-06-02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</si>
  <si>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GD2003-06-03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</si>
  <si>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WE-MU-20-0079 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20Lt 40Lt Hastelloy Reactor bottom valve-201210.cad</t>
    </r>
  </si>
  <si>
    <r>
      <rPr>
        <sz val="9"/>
        <rFont val="맑은 고딕"/>
        <family val="0"/>
        <charset val="1"/>
      </rPr>
      <t xml:space="preserve">WE-MU-20-0079 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20Lt 40Lt Hastelloy Reactor </t>
    </r>
    <r>
      <rPr>
        <sz val="9"/>
        <rFont val="Noto Sans CJK SC"/>
        <family val="2"/>
      </rPr>
      <t xml:space="preserve">제작도면</t>
    </r>
    <r>
      <rPr>
        <sz val="9"/>
        <rFont val="맑은 고딕"/>
        <family val="0"/>
        <charset val="1"/>
      </rPr>
      <t xml:space="preserve">-V1.0-201110.cad</t>
    </r>
  </si>
  <si>
    <r>
      <rPr>
        <sz val="9"/>
        <rFont val="맑은 고딕"/>
        <family val="0"/>
        <charset val="1"/>
      </rPr>
      <t xml:space="preserve">WE-MU-20-0091 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(DN300 </t>
    </r>
    <r>
      <rPr>
        <sz val="9"/>
        <rFont val="Noto Sans CJK SC"/>
        <family val="2"/>
      </rPr>
      <t xml:space="preserve">방폭모터</t>
    </r>
    <r>
      <rPr>
        <sz val="9"/>
        <rFont val="맑은 고딕"/>
        <family val="0"/>
        <charset val="1"/>
      </rPr>
      <t xml:space="preserve">)-201124.cad</t>
    </r>
  </si>
  <si>
    <r>
      <rPr>
        <sz val="9"/>
        <rFont val="맑은 고딕"/>
        <family val="0"/>
        <charset val="1"/>
      </rPr>
      <t xml:space="preserve">WE-MU-20-0091 </t>
    </r>
    <r>
      <rPr>
        <sz val="9"/>
        <rFont val="Noto Sans CJK SC"/>
        <family val="2"/>
      </rPr>
      <t xml:space="preserve">애니젠 </t>
    </r>
    <r>
      <rPr>
        <sz val="9"/>
        <rFont val="맑은 고딕"/>
        <family val="0"/>
        <charset val="1"/>
      </rPr>
      <t xml:space="preserve">30L</t>
    </r>
    <r>
      <rPr>
        <sz val="9"/>
        <rFont val="Noto Sans CJK SC"/>
        <family val="2"/>
      </rPr>
      <t xml:space="preserve">고상반응기 상판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</si>
  <si>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WE-MU-20-0091 </t>
    </r>
    <r>
      <rPr>
        <sz val="9"/>
        <rFont val="Noto Sans CJK SC"/>
        <family val="2"/>
      </rPr>
      <t xml:space="preserve">애니젠 </t>
    </r>
    <r>
      <rPr>
        <sz val="9"/>
        <rFont val="맑은 고딕"/>
        <family val="0"/>
        <charset val="1"/>
      </rPr>
      <t xml:space="preserve">30</t>
    </r>
    <r>
      <rPr>
        <sz val="9"/>
        <rFont val="Noto Sans CJK SC"/>
        <family val="2"/>
      </rPr>
      <t xml:space="preserve">리터 고상반응기 경동글로벌텍 </t>
    </r>
    <r>
      <rPr>
        <sz val="9"/>
        <rFont val="맑은 고딕"/>
        <family val="0"/>
        <charset val="1"/>
      </rPr>
      <t xml:space="preserve">GD2003-06-00A </t>
    </r>
    <r>
      <rPr>
        <sz val="9"/>
        <rFont val="Noto Sans CJK SC"/>
        <family val="2"/>
      </rPr>
      <t xml:space="preserve">타공판도면</t>
    </r>
    <r>
      <rPr>
        <sz val="9"/>
        <rFont val="맑은 고딕"/>
        <family val="0"/>
        <charset val="1"/>
      </rPr>
      <t xml:space="preserve">-201216-LS.cad</t>
    </r>
  </si>
  <si>
    <r>
      <rPr>
        <sz val="9"/>
        <rFont val="맑은 고딕"/>
        <family val="0"/>
        <charset val="1"/>
      </rPr>
      <t xml:space="preserve">WE-MU-20-0091-3 </t>
    </r>
    <r>
      <rPr>
        <sz val="9"/>
        <rFont val="Noto Sans CJK SC"/>
        <family val="2"/>
      </rPr>
      <t xml:space="preserve">애니젠 </t>
    </r>
    <r>
      <rPr>
        <sz val="9"/>
        <rFont val="맑은 고딕"/>
        <family val="0"/>
        <charset val="1"/>
      </rPr>
      <t xml:space="preserve">30Lt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-201208-HLS.cad</t>
    </r>
  </si>
  <si>
    <r>
      <rPr>
        <sz val="9"/>
        <rFont val="맑은 고딕"/>
        <family val="0"/>
        <charset val="1"/>
      </rPr>
      <t xml:space="preserve">WE-MU-20-0091-3 </t>
    </r>
    <r>
      <rPr>
        <sz val="9"/>
        <rFont val="Noto Sans CJK SC"/>
        <family val="2"/>
      </rPr>
      <t xml:space="preserve">애니젠 </t>
    </r>
    <r>
      <rPr>
        <sz val="9"/>
        <rFont val="맑은 고딕"/>
        <family val="0"/>
        <charset val="1"/>
      </rPr>
      <t xml:space="preserve">30L</t>
    </r>
    <r>
      <rPr>
        <sz val="9"/>
        <rFont val="Noto Sans CJK SC"/>
        <family val="2"/>
      </rPr>
      <t xml:space="preserve">고상반응기 </t>
    </r>
    <r>
      <rPr>
        <sz val="9"/>
        <rFont val="맑은 고딕"/>
        <family val="0"/>
        <charset val="1"/>
      </rPr>
      <t xml:space="preserve">baffle.cad</t>
    </r>
  </si>
  <si>
    <r>
      <rPr>
        <sz val="9"/>
        <rFont val="Noto Sans CJK SC"/>
        <family val="2"/>
      </rPr>
      <t xml:space="preserve">이프텍 </t>
    </r>
    <r>
      <rPr>
        <sz val="9"/>
        <rFont val="맑은 고딕"/>
        <family val="0"/>
        <charset val="1"/>
      </rPr>
      <t xml:space="preserve">20201221</t>
    </r>
    <r>
      <rPr>
        <sz val="9"/>
        <rFont val="Noto Sans CJK SC"/>
        <family val="2"/>
      </rPr>
      <t xml:space="preserve">에니젠무빙</t>
    </r>
    <r>
      <rPr>
        <sz val="9"/>
        <rFont val="맑은 고딕"/>
        <family val="0"/>
        <charset val="1"/>
      </rPr>
      <t xml:space="preserve">-201221.cad</t>
    </r>
  </si>
  <si>
    <t xml:space="preserve">PR2402RT01-SP071121.cad</t>
  </si>
  <si>
    <t xml:space="preserve">DOOR LOCK BRACKET.cad</t>
  </si>
  <si>
    <t xml:space="preserve">LIFT HOOK.cad</t>
  </si>
  <si>
    <t xml:space="preserve">COVER.cad</t>
  </si>
  <si>
    <r>
      <rPr>
        <sz val="9"/>
        <rFont val="Noto Sans CJK SC"/>
        <family val="2"/>
      </rPr>
      <t xml:space="preserve">두루텍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오븐 명판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</si>
  <si>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Noto Sans CJK SC"/>
        <family val="2"/>
      </rPr>
      <t xml:space="preserve">두루텍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오븐 명판</t>
    </r>
    <r>
      <rPr>
        <sz val="9"/>
        <rFont val="맑은 고딕"/>
        <family val="0"/>
        <charset val="1"/>
      </rPr>
      <t xml:space="preserve">A.cad</t>
    </r>
  </si>
  <si>
    <r>
      <rPr>
        <sz val="9"/>
        <rFont val="Noto Sans CJK SC"/>
        <family val="2"/>
      </rPr>
      <t xml:space="preserve">두루텍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오븐 명판</t>
    </r>
    <r>
      <rPr>
        <sz val="9"/>
        <rFont val="맑은 고딕"/>
        <family val="0"/>
        <charset val="1"/>
      </rPr>
      <t xml:space="preserve">B.cad</t>
    </r>
  </si>
  <si>
    <t xml:space="preserve">SPOON.cad</t>
  </si>
  <si>
    <r>
      <rPr>
        <sz val="9"/>
        <rFont val="맑은 고딕"/>
        <family val="0"/>
        <charset val="1"/>
      </rPr>
      <t xml:space="preserve">SEAL </t>
    </r>
    <r>
      <rPr>
        <sz val="9"/>
        <rFont val="Noto Sans CJK SC"/>
        <family val="2"/>
      </rPr>
      <t xml:space="preserve">도면</t>
    </r>
    <r>
      <rPr>
        <sz val="9"/>
        <rFont val="맑은 고딕"/>
        <family val="0"/>
        <charset val="1"/>
      </rPr>
      <t xml:space="preserve">a.cad</t>
    </r>
  </si>
  <si>
    <r>
      <rPr>
        <sz val="9"/>
        <rFont val="맑은 고딕"/>
        <family val="0"/>
        <charset val="1"/>
      </rPr>
      <t xml:space="preserve">WELL-SUN-160L- </t>
    </r>
    <r>
      <rPr>
        <sz val="9"/>
        <rFont val="Noto Sans CJK SC"/>
        <family val="2"/>
      </rPr>
      <t xml:space="preserve">승인도면</t>
    </r>
    <r>
      <rPr>
        <sz val="9"/>
        <rFont val="맑은 고딕"/>
        <family val="0"/>
        <charset val="1"/>
      </rPr>
      <t xml:space="preserve">-1.cad</t>
    </r>
  </si>
  <si>
    <r>
      <rPr>
        <sz val="9"/>
        <rFont val="Noto Sans CJK SC"/>
        <family val="2"/>
      </rPr>
      <t xml:space="preserve">선바이오 </t>
    </r>
    <r>
      <rPr>
        <sz val="9"/>
        <rFont val="맑은 고딕"/>
        <family val="0"/>
        <charset val="1"/>
      </rPr>
      <t xml:space="preserve">CR-162 JACKET-191210-2.cad</t>
    </r>
  </si>
  <si>
    <r>
      <rPr>
        <sz val="9"/>
        <rFont val="Noto Sans CJK SC"/>
        <family val="2"/>
      </rPr>
      <t xml:space="preserve">선바이오 </t>
    </r>
    <r>
      <rPr>
        <sz val="9"/>
        <rFont val="맑은 고딕"/>
        <family val="0"/>
        <charset val="1"/>
      </rPr>
      <t xml:space="preserve">CR-162 JACKET-191210-22.cad</t>
    </r>
  </si>
  <si>
    <r>
      <rPr>
        <sz val="9"/>
        <rFont val="맑은 고딕"/>
        <family val="0"/>
        <charset val="1"/>
      </rPr>
      <t xml:space="preserve">GD2003-02-03 </t>
    </r>
    <r>
      <rPr>
        <sz val="9"/>
        <rFont val="Noto Sans CJK SC"/>
        <family val="2"/>
      </rPr>
      <t xml:space="preserve">선반가공</t>
    </r>
    <r>
      <rPr>
        <sz val="9"/>
        <rFont val="맑은 고딕"/>
        <family val="0"/>
        <charset val="1"/>
      </rPr>
      <t xml:space="preserve">.cad</t>
    </r>
  </si>
  <si>
    <t xml:space="preserve">SHEEL COVER LASER.cad</t>
  </si>
  <si>
    <t xml:space="preserve">SHEEL FLANGE LASER.cad</t>
  </si>
  <si>
    <t xml:space="preserve">SHEEL FLANGE.cad</t>
  </si>
  <si>
    <r>
      <rPr>
        <sz val="9"/>
        <rFont val="맑은 고딕"/>
        <family val="0"/>
        <charset val="1"/>
      </rPr>
      <t xml:space="preserve">SHEEL </t>
    </r>
    <r>
      <rPr>
        <sz val="9"/>
        <rFont val="Noto Sans CJK SC"/>
        <family val="2"/>
      </rPr>
      <t xml:space="preserve">선반가공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</si>
  <si>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SHEEL </t>
    </r>
    <r>
      <rPr>
        <sz val="9"/>
        <rFont val="Noto Sans CJK SC"/>
        <family val="2"/>
      </rPr>
      <t xml:space="preserve">선반가공</t>
    </r>
    <r>
      <rPr>
        <sz val="9"/>
        <rFont val="맑은 고딕"/>
        <family val="0"/>
        <charset val="1"/>
      </rPr>
      <t xml:space="preserve">A.cad</t>
    </r>
  </si>
  <si>
    <t xml:space="preserve">2020-03-09</t>
  </si>
  <si>
    <r>
      <rPr>
        <sz val="9"/>
        <rFont val="맑은 고딕"/>
        <family val="0"/>
        <charset val="1"/>
      </rPr>
      <t xml:space="preserve">SHEEL </t>
    </r>
    <r>
      <rPr>
        <sz val="9"/>
        <rFont val="Noto Sans CJK SC"/>
        <family val="2"/>
      </rPr>
      <t xml:space="preserve">자재</t>
    </r>
    <r>
      <rPr>
        <sz val="9"/>
        <rFont val="맑은 고딕"/>
        <family val="0"/>
        <charset val="1"/>
      </rPr>
      <t xml:space="preserve">.cad</t>
    </r>
  </si>
  <si>
    <t xml:space="preserve">impller LASER.cad</t>
  </si>
  <si>
    <r>
      <rPr>
        <sz val="9"/>
        <rFont val="Noto Sans CJK SC"/>
        <family val="2"/>
      </rPr>
      <t xml:space="preserve">선바이오 </t>
    </r>
    <r>
      <rPr>
        <sz val="9"/>
        <rFont val="맑은 고딕"/>
        <family val="0"/>
        <charset val="1"/>
      </rPr>
      <t xml:space="preserve">CR-162 JACKET-200130-C.cad</t>
    </r>
  </si>
  <si>
    <r>
      <rPr>
        <sz val="9"/>
        <rFont val="Noto Sans CJK SC"/>
        <family val="2"/>
      </rPr>
      <t xml:space="preserve">선바이오 </t>
    </r>
    <r>
      <rPr>
        <sz val="9"/>
        <rFont val="맑은 고딕"/>
        <family val="0"/>
        <charset val="1"/>
      </rPr>
      <t xml:space="preserve">CR-162 JACKET-200130-a.cad</t>
    </r>
  </si>
  <si>
    <t xml:space="preserve">2020-02-25</t>
  </si>
  <si>
    <r>
      <rPr>
        <sz val="9"/>
        <rFont val="Noto Sans CJK SC"/>
        <family val="2"/>
      </rPr>
      <t xml:space="preserve">선바이오 </t>
    </r>
    <r>
      <rPr>
        <sz val="9"/>
        <rFont val="맑은 고딕"/>
        <family val="0"/>
        <charset val="1"/>
      </rPr>
      <t xml:space="preserve">CR-162 JACKET-200130-aa.cad</t>
    </r>
  </si>
  <si>
    <r>
      <rPr>
        <sz val="9"/>
        <rFont val="Noto Sans CJK SC"/>
        <family val="2"/>
      </rPr>
      <t xml:space="preserve">선바이오 </t>
    </r>
    <r>
      <rPr>
        <sz val="9"/>
        <rFont val="맑은 고딕"/>
        <family val="0"/>
        <charset val="1"/>
      </rPr>
      <t xml:space="preserve">CR-162 JACKET-200130-b.cad</t>
    </r>
  </si>
  <si>
    <r>
      <rPr>
        <sz val="9"/>
        <rFont val="Noto Sans CJK SC"/>
        <family val="2"/>
      </rPr>
      <t xml:space="preserve">선바이오 </t>
    </r>
    <r>
      <rPr>
        <sz val="9"/>
        <rFont val="맑은 고딕"/>
        <family val="0"/>
        <charset val="1"/>
      </rPr>
      <t xml:space="preserve">CR-162 JACKET-200130-b1.cad</t>
    </r>
  </si>
  <si>
    <r>
      <rPr>
        <sz val="9"/>
        <rFont val="Noto Sans CJK SC"/>
        <family val="2"/>
      </rPr>
      <t xml:space="preserve">선바이오 </t>
    </r>
    <r>
      <rPr>
        <sz val="9"/>
        <rFont val="맑은 고딕"/>
        <family val="0"/>
        <charset val="1"/>
      </rPr>
      <t xml:space="preserve">CR-162 JACKET-NOZZLE.cad</t>
    </r>
  </si>
  <si>
    <r>
      <rPr>
        <sz val="9"/>
        <rFont val="Noto Sans CJK SC"/>
        <family val="2"/>
      </rPr>
      <t xml:space="preserve">선바이오 </t>
    </r>
    <r>
      <rPr>
        <sz val="9"/>
        <rFont val="맑은 고딕"/>
        <family val="0"/>
        <charset val="1"/>
      </rPr>
      <t xml:space="preserve">CR-162 JACKET-191210-20.cad</t>
    </r>
  </si>
  <si>
    <t xml:space="preserve">CADian V15.00</t>
  </si>
  <si>
    <t xml:space="preserve">Jan162020_Jan152020_GD1905-01-Main Page.cad</t>
  </si>
  <si>
    <t xml:space="preserve">2020-01-16</t>
  </si>
  <si>
    <t xml:space="preserve">Tanks Name plates Bracket.cad</t>
  </si>
  <si>
    <t xml:space="preserve">Tanks Name plates for additive skid system_SEK.cad</t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</si>
  <si>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경판절단</t>
    </r>
    <r>
      <rPr>
        <sz val="9"/>
        <rFont val="맑은 고딕"/>
        <family val="0"/>
        <charset val="1"/>
      </rPr>
      <t xml:space="preserve">.cad</t>
    </r>
  </si>
  <si>
    <t xml:space="preserve">2019-12-28</t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</si>
  <si>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경판절단</t>
    </r>
    <r>
      <rPr>
        <sz val="9"/>
        <rFont val="맑은 고딕"/>
        <family val="0"/>
        <charset val="1"/>
      </rPr>
      <t xml:space="preserve">191224.cad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</si>
  <si>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2-316-4T.cad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</si>
  <si>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3-3T 304.cad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</si>
  <si>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4-4T 304.cad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</si>
  <si>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5-15T 304.cad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</si>
  <si>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6-15T 304.cad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</si>
  <si>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7-15T 304.cad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</si>
  <si>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8-3T 304.cad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</si>
  <si>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레지저 </t>
    </r>
    <r>
      <rPr>
        <sz val="9"/>
        <rFont val="맑은 고딕"/>
        <family val="0"/>
        <charset val="1"/>
      </rPr>
      <t xml:space="preserve">1-3OT.cad</t>
    </r>
  </si>
  <si>
    <t xml:space="preserve">GD1905-01-Main Page.cad</t>
  </si>
  <si>
    <r>
      <rPr>
        <sz val="9"/>
        <rFont val="맑은 고딕"/>
        <family val="0"/>
        <charset val="1"/>
      </rPr>
      <t xml:space="preserve">GD1905-02 </t>
    </r>
    <r>
      <rPr>
        <sz val="9"/>
        <rFont val="Noto Sans CJK SC"/>
        <family val="2"/>
      </rPr>
      <t xml:space="preserve">셀 리에저 절단</t>
    </r>
    <r>
      <rPr>
        <sz val="9"/>
        <rFont val="맑은 고딕"/>
        <family val="0"/>
        <charset val="1"/>
      </rPr>
      <t xml:space="preserve">191229.cad</t>
    </r>
  </si>
  <si>
    <t xml:space="preserve">2019-12-30</t>
  </si>
  <si>
    <r>
      <rPr>
        <sz val="9"/>
        <rFont val="맑은 고딕"/>
        <family val="0"/>
        <charset val="1"/>
      </rPr>
      <t xml:space="preserve">GD1905-03 04</t>
    </r>
    <r>
      <rPr>
        <sz val="9"/>
        <rFont val="Noto Sans CJK SC"/>
        <family val="2"/>
      </rPr>
      <t xml:space="preserve">노즐 변경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</si>
  <si>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GD1905-03 </t>
    </r>
    <r>
      <rPr>
        <sz val="9"/>
        <rFont val="Noto Sans CJK SC"/>
        <family val="2"/>
      </rPr>
      <t xml:space="preserve">노즐 변경 안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</si>
  <si>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GD1905-03 </t>
    </r>
    <r>
      <rPr>
        <sz val="9"/>
        <rFont val="Noto Sans CJK SC"/>
        <family val="2"/>
      </rPr>
      <t xml:space="preserve">노즐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</si>
  <si>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GD1905-03 </t>
    </r>
    <r>
      <rPr>
        <sz val="9"/>
        <rFont val="Noto Sans CJK SC"/>
        <family val="2"/>
      </rPr>
      <t xml:space="preserve">변경 안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</si>
  <si>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GD1905-04 </t>
    </r>
    <r>
      <rPr>
        <sz val="9"/>
        <rFont val="Noto Sans CJK SC"/>
        <family val="2"/>
      </rPr>
      <t xml:space="preserve">노즐 맹 플렌지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</si>
  <si>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GD1905-04 </t>
    </r>
    <r>
      <rPr>
        <sz val="9"/>
        <rFont val="Noto Sans CJK SC"/>
        <family val="2"/>
      </rPr>
      <t xml:space="preserve">브라켓 변경 안</t>
    </r>
    <r>
      <rPr>
        <sz val="9"/>
        <rFont val="맑은 고딕"/>
        <family val="0"/>
        <charset val="1"/>
      </rPr>
      <t xml:space="preserve">.cad</t>
    </r>
  </si>
  <si>
    <t xml:space="preserve">NI047-10-W01-Main Page.cad</t>
  </si>
  <si>
    <t xml:space="preserve">D-Tank Main Page-200123.cad</t>
  </si>
  <si>
    <t xml:space="preserve">GD1606-01-00.cad</t>
  </si>
  <si>
    <t xml:space="preserve">GD1606-01-00A.cad</t>
  </si>
  <si>
    <t xml:space="preserve">GD1606-01-01.cad</t>
  </si>
  <si>
    <t xml:space="preserve">GD1606-01-01A.cad</t>
  </si>
  <si>
    <t xml:space="preserve">GD1606-01-01B.cad</t>
  </si>
  <si>
    <t xml:space="preserve">GD1606-01-03.cad</t>
  </si>
  <si>
    <t xml:space="preserve">LASER2.cad</t>
  </si>
  <si>
    <t xml:space="preserve">RASER.cad</t>
  </si>
  <si>
    <t xml:space="preserve">VD0EQ01A-DA1608.cad</t>
  </si>
  <si>
    <t xml:space="preserve">2016-08-19</t>
  </si>
  <si>
    <t xml:space="preserve">VD0EQ01A-DA1608A.cad</t>
  </si>
  <si>
    <r>
      <rPr>
        <sz val="9"/>
        <rFont val="Noto Sans CJK SC"/>
        <family val="2"/>
      </rPr>
      <t xml:space="preserve">보온</t>
    </r>
    <r>
      <rPr>
        <sz val="9"/>
        <rFont val="맑은 고딕"/>
        <family val="0"/>
        <charset val="1"/>
      </rPr>
      <t xml:space="preserve">COVER-LASER.cad</t>
    </r>
  </si>
  <si>
    <t xml:space="preserve">TVD18-C-0.cad</t>
  </si>
  <si>
    <t xml:space="preserve">TVD18-C-1.cad</t>
  </si>
  <si>
    <t xml:space="preserve">TVD18-C-2.cad</t>
  </si>
  <si>
    <t xml:space="preserve">TVD18-C-3.cad</t>
  </si>
  <si>
    <t xml:space="preserve">TVD18-C.cad</t>
  </si>
  <si>
    <t xml:space="preserve">TVD18-E.cad</t>
  </si>
  <si>
    <t xml:space="preserve">VD05PD01A-DA121112.cad</t>
  </si>
  <si>
    <t xml:space="preserve">2016-07-18</t>
  </si>
  <si>
    <r>
      <rPr>
        <sz val="9"/>
        <rFont val="Noto Sans CJK SC"/>
        <family val="2"/>
      </rPr>
      <t xml:space="preserve">진공 건조기 </t>
    </r>
    <r>
      <rPr>
        <sz val="9"/>
        <rFont val="맑은 고딕"/>
        <family val="0"/>
        <charset val="1"/>
      </rPr>
      <t xml:space="preserve">3.0(</t>
    </r>
    <r>
      <rPr>
        <sz val="9"/>
        <rFont val="Noto Sans CJK SC"/>
        <family val="2"/>
      </rPr>
      <t xml:space="preserve">가공</t>
    </r>
    <r>
      <rPr>
        <sz val="9"/>
        <rFont val="맑은 고딕"/>
        <family val="0"/>
        <charset val="1"/>
      </rPr>
      <t xml:space="preserve">).cad</t>
    </r>
  </si>
  <si>
    <r>
      <rPr>
        <sz val="9"/>
        <rFont val="Noto Sans CJK SC"/>
        <family val="2"/>
      </rPr>
      <t xml:space="preserve">진공 건조기 힌찌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</si>
  <si>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Noto Sans CJK SC"/>
        <family val="2"/>
      </rPr>
      <t xml:space="preserve">진공건조기 </t>
    </r>
    <r>
      <rPr>
        <sz val="9"/>
        <rFont val="맑은 고딕"/>
        <family val="0"/>
        <charset val="1"/>
      </rPr>
      <t xml:space="preserve">2.0 </t>
    </r>
    <r>
      <rPr>
        <sz val="9"/>
        <rFont val="Noto Sans CJK SC"/>
        <family val="2"/>
      </rPr>
      <t xml:space="preserve">가공용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</si>
  <si>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Noto Sans CJK SC"/>
        <family val="2"/>
      </rPr>
      <t xml:space="preserve">진공건조기 </t>
    </r>
    <r>
      <rPr>
        <sz val="9"/>
        <rFont val="맑은 고딕"/>
        <family val="0"/>
        <charset val="1"/>
      </rPr>
      <t xml:space="preserve">2.0 </t>
    </r>
    <r>
      <rPr>
        <sz val="9"/>
        <rFont val="Noto Sans CJK SC"/>
        <family val="2"/>
      </rPr>
      <t xml:space="preserve">작업용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</si>
  <si>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Noto Sans CJK SC"/>
        <family val="2"/>
      </rPr>
      <t xml:space="preserve">진공건조기 </t>
    </r>
    <r>
      <rPr>
        <sz val="9"/>
        <rFont val="맑은 고딕"/>
        <family val="0"/>
        <charset val="1"/>
      </rPr>
      <t xml:space="preserve">2.0 </t>
    </r>
    <r>
      <rPr>
        <sz val="9"/>
        <rFont val="Noto Sans CJK SC"/>
        <family val="2"/>
      </rPr>
      <t xml:space="preserve">전체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</si>
  <si>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0.5-</t>
    </r>
    <r>
      <rPr>
        <sz val="9"/>
        <rFont val="Noto Sans CJK SC"/>
        <family val="2"/>
      </rPr>
      <t xml:space="preserve">신풍</t>
    </r>
    <r>
      <rPr>
        <sz val="9"/>
        <rFont val="맑은 고딕"/>
        <family val="0"/>
        <charset val="1"/>
      </rPr>
      <t xml:space="preserve">0818.cad</t>
    </r>
  </si>
  <si>
    <r>
      <rPr>
        <sz val="9"/>
        <rFont val="Noto Sans CJK SC"/>
        <family val="2"/>
      </rPr>
      <t xml:space="preserve">온수탱크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</si>
  <si>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1.cad</t>
    </r>
  </si>
  <si>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2.cad</t>
    </r>
  </si>
  <si>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3.cad</t>
    </r>
  </si>
  <si>
    <r>
      <rPr>
        <sz val="9"/>
        <rFont val="Noto Sans CJK SC"/>
        <family val="2"/>
      </rPr>
      <t xml:space="preserve">진공건조기가공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</si>
  <si>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Noto Sans CJK SC"/>
        <family val="2"/>
      </rPr>
      <t xml:space="preserve">진공건조기조립도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</si>
  <si>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Noto Sans CJK SC"/>
        <family val="2"/>
      </rPr>
      <t xml:space="preserve">진공탱크</t>
    </r>
    <r>
      <rPr>
        <sz val="9"/>
        <rFont val="맑은 고딕"/>
        <family val="0"/>
        <charset val="1"/>
      </rPr>
      <t xml:space="preserve">.cad</t>
    </r>
  </si>
  <si>
    <t xml:space="preserve">GD160804-01-00.cad</t>
  </si>
  <si>
    <t xml:space="preserve">2017-02-09</t>
  </si>
  <si>
    <t xml:space="preserve">GD160804-01-00y.cad</t>
  </si>
  <si>
    <t xml:space="preserve">2016-12-17</t>
  </si>
  <si>
    <r>
      <rPr>
        <sz val="9"/>
        <rFont val="맑은 고딕"/>
        <family val="0"/>
        <charset val="1"/>
      </rPr>
      <t xml:space="preserve">GD160804-01-01-</t>
    </r>
    <r>
      <rPr>
        <sz val="9"/>
        <rFont val="Noto Sans CJK SC"/>
        <family val="2"/>
      </rPr>
      <t xml:space="preserve">도어가공</t>
    </r>
    <r>
      <rPr>
        <sz val="9"/>
        <rFont val="맑은 고딕"/>
        <family val="0"/>
        <charset val="1"/>
      </rPr>
      <t xml:space="preserve">.cad</t>
    </r>
  </si>
  <si>
    <t xml:space="preserve">GD160804-01-01.cad</t>
  </si>
  <si>
    <t xml:space="preserve">GD160804-01-02.cad</t>
  </si>
  <si>
    <t xml:space="preserve">2016-11-25</t>
  </si>
  <si>
    <t xml:space="preserve">GD160804-01-03.cad</t>
  </si>
  <si>
    <t xml:space="preserve">2016-12-01</t>
  </si>
  <si>
    <t xml:space="preserve">GD160804-02-00.cad</t>
  </si>
  <si>
    <t xml:space="preserve">GD160804-02-03.cad</t>
  </si>
  <si>
    <t xml:space="preserve">GD160804-03-00.cad</t>
  </si>
  <si>
    <t xml:space="preserve">GD160804-03-02.cad</t>
  </si>
  <si>
    <r>
      <rPr>
        <sz val="9"/>
        <rFont val="맑은 고딕"/>
        <family val="0"/>
        <charset val="1"/>
      </rPr>
      <t xml:space="preserve">PRC2402</t>
    </r>
    <r>
      <rPr>
        <sz val="9"/>
        <rFont val="Noto Sans CJK SC"/>
        <family val="2"/>
      </rPr>
      <t xml:space="preserve">콘덴서</t>
    </r>
    <r>
      <rPr>
        <sz val="9"/>
        <rFont val="맑은 고딕"/>
        <family val="0"/>
        <charset val="1"/>
      </rPr>
      <t xml:space="preserve">A01-</t>
    </r>
    <r>
      <rPr>
        <sz val="9"/>
        <rFont val="Noto Sans CJK SC"/>
        <family val="2"/>
      </rPr>
      <t xml:space="preserve">신풍</t>
    </r>
    <r>
      <rPr>
        <sz val="9"/>
        <rFont val="맑은 고딕"/>
        <family val="0"/>
        <charset val="1"/>
      </rPr>
      <t xml:space="preserve">1121.cad</t>
    </r>
  </si>
  <si>
    <r>
      <rPr>
        <sz val="9"/>
        <rFont val="Noto Sans CJK SC"/>
        <family val="2"/>
      </rPr>
      <t xml:space="preserve">열교환기</t>
    </r>
    <r>
      <rPr>
        <sz val="9"/>
        <rFont val="맑은 고딕"/>
        <family val="0"/>
        <charset val="1"/>
      </rPr>
      <t xml:space="preserve">-160530-</t>
    </r>
    <r>
      <rPr>
        <sz val="9"/>
        <rFont val="Noto Sans CJK SC"/>
        <family val="2"/>
      </rPr>
      <t xml:space="preserve">검사도면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</si>
  <si>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Noto Sans CJK SC"/>
        <family val="2"/>
      </rPr>
      <t xml:space="preserve">건조기 </t>
    </r>
    <r>
      <rPr>
        <sz val="9"/>
        <rFont val="맑은 고딕"/>
        <family val="0"/>
        <charset val="1"/>
      </rPr>
      <t xml:space="preserve">201700919.cad</t>
    </r>
  </si>
  <si>
    <r>
      <rPr>
        <sz val="9"/>
        <rFont val="Noto Sans CJK SC"/>
        <family val="2"/>
      </rPr>
      <t xml:space="preserve">건조기 </t>
    </r>
    <r>
      <rPr>
        <sz val="9"/>
        <rFont val="맑은 고딕"/>
        <family val="0"/>
        <charset val="1"/>
      </rPr>
      <t xml:space="preserve">20170822.cad</t>
    </r>
  </si>
  <si>
    <t xml:space="preserve">2017-08-28</t>
  </si>
  <si>
    <r>
      <rPr>
        <sz val="9"/>
        <rFont val="Noto Sans CJK SC"/>
        <family val="2"/>
      </rPr>
      <t xml:space="preserve">그린텍 건조기 </t>
    </r>
    <r>
      <rPr>
        <sz val="9"/>
        <rFont val="맑은 고딕"/>
        <family val="0"/>
        <charset val="1"/>
      </rPr>
      <t xml:space="preserve">20170822.cad</t>
    </r>
  </si>
  <si>
    <t xml:space="preserve">DOOR COVER.cad</t>
  </si>
  <si>
    <r>
      <rPr>
        <sz val="9"/>
        <rFont val="맑은 고딕"/>
        <family val="0"/>
        <charset val="1"/>
      </rPr>
      <t xml:space="preserve">GD160804-01-03-</t>
    </r>
    <r>
      <rPr>
        <sz val="9"/>
        <rFont val="Noto Sans CJK SC"/>
        <family val="2"/>
      </rPr>
      <t xml:space="preserve">온도센서</t>
    </r>
    <r>
      <rPr>
        <sz val="9"/>
        <rFont val="맑은 고딕"/>
        <family val="0"/>
        <charset val="1"/>
      </rPr>
      <t xml:space="preserve">.cad</t>
    </r>
  </si>
  <si>
    <t xml:space="preserve">GD180201-00.cad</t>
  </si>
  <si>
    <t xml:space="preserve">GD180201-00A.cad</t>
  </si>
  <si>
    <t xml:space="preserve">2018-05-08</t>
  </si>
  <si>
    <t xml:space="preserve">GD180201-01.cad</t>
  </si>
  <si>
    <t xml:space="preserve">2018-03-28</t>
  </si>
  <si>
    <t xml:space="preserve">GD180201-01A.cad</t>
  </si>
  <si>
    <t xml:space="preserve">GD180201-01L.cad</t>
  </si>
  <si>
    <t xml:space="preserve">GD180201-01L1.cad</t>
  </si>
  <si>
    <t xml:space="preserve">GD180201-01L2.cad</t>
  </si>
  <si>
    <t xml:space="preserve">GD180201-01L3.cad</t>
  </si>
  <si>
    <t xml:space="preserve">GD180201-02.cad</t>
  </si>
  <si>
    <t xml:space="preserve">GD180201-02A.cad</t>
  </si>
  <si>
    <t xml:space="preserve">GD180201-02AL.cad</t>
  </si>
  <si>
    <t xml:space="preserve">GD180201-02B.cad</t>
  </si>
  <si>
    <t xml:space="preserve">GD180201-02BL.cad</t>
  </si>
  <si>
    <t xml:space="preserve">GD180201-03.cad</t>
  </si>
  <si>
    <t xml:space="preserve">GD180201-03W.cad</t>
  </si>
  <si>
    <t xml:space="preserve">nife.cad</t>
  </si>
  <si>
    <r>
      <rPr>
        <sz val="9"/>
        <rFont val="Noto Sans CJK SC"/>
        <family val="2"/>
      </rPr>
      <t xml:space="preserve">다이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</si>
  <si>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Noto Sans CJK SC"/>
        <family val="2"/>
      </rPr>
      <t xml:space="preserve">다이</t>
    </r>
    <r>
      <rPr>
        <sz val="9"/>
        <rFont val="맑은 고딕"/>
        <family val="0"/>
        <charset val="1"/>
      </rPr>
      <t xml:space="preserve">A.cad</t>
    </r>
  </si>
  <si>
    <r>
      <rPr>
        <sz val="9"/>
        <rFont val="Noto Sans CJK SC"/>
        <family val="2"/>
      </rPr>
      <t xml:space="preserve">다이</t>
    </r>
    <r>
      <rPr>
        <sz val="9"/>
        <rFont val="맑은 고딕"/>
        <family val="0"/>
        <charset val="1"/>
      </rPr>
      <t xml:space="preserve">b.cad</t>
    </r>
  </si>
  <si>
    <t xml:space="preserve">2018-05-21</t>
  </si>
  <si>
    <t xml:space="preserve">RIBBON TYPE VACUUM DRYER-200215B.cad</t>
  </si>
  <si>
    <t xml:space="preserve">RIBBON TYPE VACUUM DRYER-200215BA.cad</t>
  </si>
  <si>
    <r>
      <rPr>
        <sz val="9"/>
        <rFont val="맑은 고딕"/>
        <family val="0"/>
        <charset val="1"/>
      </rPr>
      <t xml:space="preserve">GD170402-01-</t>
    </r>
    <r>
      <rPr>
        <sz val="9"/>
        <rFont val="Noto Sans CJK SC"/>
        <family val="2"/>
      </rPr>
      <t xml:space="preserve">콘베어</t>
    </r>
    <r>
      <rPr>
        <sz val="9"/>
        <rFont val="맑은 고딕"/>
        <family val="0"/>
        <charset val="1"/>
      </rPr>
      <t xml:space="preserve">.cad</t>
    </r>
  </si>
  <si>
    <t xml:space="preserve">2017-12-06</t>
  </si>
  <si>
    <r>
      <rPr>
        <sz val="9"/>
        <rFont val="맑은 고딕"/>
        <family val="0"/>
        <charset val="1"/>
      </rPr>
      <t xml:space="preserve">GD170402-</t>
    </r>
    <r>
      <rPr>
        <sz val="9"/>
        <rFont val="Noto Sans CJK SC"/>
        <family val="2"/>
      </rPr>
      <t xml:space="preserve">센딩기</t>
    </r>
    <r>
      <rPr>
        <sz val="9"/>
        <rFont val="맑은 고딕"/>
        <family val="0"/>
        <charset val="1"/>
      </rPr>
      <t xml:space="preserve">-CHAIN SPROCKET.cad</t>
    </r>
  </si>
  <si>
    <t xml:space="preserve">2017-12-04</t>
  </si>
  <si>
    <r>
      <rPr>
        <sz val="9"/>
        <rFont val="맑은 고딕"/>
        <family val="0"/>
        <charset val="1"/>
      </rPr>
      <t xml:space="preserve">GD170402-</t>
    </r>
    <r>
      <rPr>
        <sz val="9"/>
        <rFont val="Noto Sans CJK SC"/>
        <family val="2"/>
      </rPr>
      <t xml:space="preserve">센딩기</t>
    </r>
    <r>
      <rPr>
        <sz val="9"/>
        <rFont val="맑은 고딕"/>
        <family val="0"/>
        <charset val="1"/>
      </rPr>
      <t xml:space="preserve">-NIPPLE.cad</t>
    </r>
  </si>
  <si>
    <t xml:space="preserve">2018-06-14</t>
  </si>
  <si>
    <r>
      <rPr>
        <sz val="9"/>
        <rFont val="맑은 고딕"/>
        <family val="0"/>
        <charset val="1"/>
      </rPr>
      <t xml:space="preserve">GD170402-</t>
    </r>
    <r>
      <rPr>
        <sz val="9"/>
        <rFont val="Noto Sans CJK SC"/>
        <family val="2"/>
      </rPr>
      <t xml:space="preserve">센딩기</t>
    </r>
    <r>
      <rPr>
        <sz val="9"/>
        <rFont val="맑은 고딕"/>
        <family val="0"/>
        <charset val="1"/>
      </rPr>
      <t xml:space="preserve">-SHAFT.cad</t>
    </r>
  </si>
  <si>
    <r>
      <rPr>
        <sz val="9"/>
        <rFont val="맑은 고딕"/>
        <family val="0"/>
        <charset val="1"/>
      </rPr>
      <t xml:space="preserve">GD170402-</t>
    </r>
    <r>
      <rPr>
        <sz val="9"/>
        <rFont val="Noto Sans CJK SC"/>
        <family val="2"/>
      </rPr>
      <t xml:space="preserve">센딩기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</si>
  <si>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Noto Sans CJK SC"/>
        <family val="2"/>
      </rPr>
      <t xml:space="preserve">샌딩기 </t>
    </r>
    <r>
      <rPr>
        <sz val="9"/>
        <rFont val="맑은 고딕"/>
        <family val="0"/>
        <charset val="1"/>
      </rPr>
      <t xml:space="preserve">201700919.cad</t>
    </r>
  </si>
  <si>
    <r>
      <rPr>
        <sz val="9"/>
        <rFont val="Noto Sans CJK SC"/>
        <family val="2"/>
      </rPr>
      <t xml:space="preserve">샌딩기</t>
    </r>
    <r>
      <rPr>
        <sz val="9"/>
        <rFont val="맑은 고딕"/>
        <family val="0"/>
        <charset val="1"/>
      </rPr>
      <t xml:space="preserve">+</t>
    </r>
    <r>
      <rPr>
        <sz val="9"/>
        <rFont val="Noto Sans CJK SC"/>
        <family val="2"/>
      </rPr>
      <t xml:space="preserve">버킷콘베어 </t>
    </r>
    <r>
      <rPr>
        <sz val="9"/>
        <rFont val="맑은 고딕"/>
        <family val="0"/>
        <charset val="1"/>
      </rPr>
      <t xml:space="preserve">201700919A.cad</t>
    </r>
  </si>
  <si>
    <t xml:space="preserve">2021-04-13</t>
  </si>
  <si>
    <r>
      <rPr>
        <sz val="9"/>
        <rFont val="Noto Sans CJK SC"/>
        <family val="2"/>
      </rPr>
      <t xml:space="preserve">센딩기 </t>
    </r>
    <r>
      <rPr>
        <sz val="9"/>
        <rFont val="맑은 고딕"/>
        <family val="0"/>
        <charset val="1"/>
      </rPr>
      <t xml:space="preserve">201700919.cad</t>
    </r>
  </si>
  <si>
    <t xml:space="preserve">2017-11-20</t>
  </si>
  <si>
    <r>
      <rPr>
        <sz val="9"/>
        <rFont val="Noto Sans CJK SC"/>
        <family val="2"/>
      </rPr>
      <t xml:space="preserve">센딩기 </t>
    </r>
    <r>
      <rPr>
        <sz val="9"/>
        <rFont val="맑은 고딕"/>
        <family val="0"/>
        <charset val="1"/>
      </rPr>
      <t xml:space="preserve">201700919A.cad</t>
    </r>
  </si>
  <si>
    <t xml:space="preserve">2017-11-27</t>
  </si>
  <si>
    <r>
      <rPr>
        <sz val="9"/>
        <rFont val="Noto Sans CJK SC"/>
        <family val="2"/>
      </rPr>
      <t xml:space="preserve">센딩기</t>
    </r>
    <r>
      <rPr>
        <sz val="9"/>
        <rFont val="맑은 고딕"/>
        <family val="0"/>
        <charset val="1"/>
      </rPr>
      <t xml:space="preserve">+</t>
    </r>
    <r>
      <rPr>
        <sz val="9"/>
        <rFont val="Noto Sans CJK SC"/>
        <family val="2"/>
      </rPr>
      <t xml:space="preserve">버킷콘베어 </t>
    </r>
    <r>
      <rPr>
        <sz val="9"/>
        <rFont val="맑은 고딕"/>
        <family val="0"/>
        <charset val="1"/>
      </rPr>
      <t xml:space="preserve">201700919.cad</t>
    </r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</si>
  <si>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/GD160801-</t>
    </r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문서관련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제출자료</t>
    </r>
  </si>
  <si>
    <r>
      <rPr>
        <sz val="9"/>
        <rFont val="Noto Sans CJK SC"/>
        <family val="2"/>
      </rPr>
      <t xml:space="preserve">재질성적서</t>
    </r>
    <r>
      <rPr>
        <sz val="9"/>
        <rFont val="맑은 고딕"/>
        <family val="0"/>
        <charset val="1"/>
      </rPr>
      <t xml:space="preserve">.zip</t>
    </r>
  </si>
  <si>
    <t xml:space="preserve">.zip</t>
  </si>
  <si>
    <t xml:space="preserve">2017-02-10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</si>
  <si>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/GD160801-</t>
    </r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사진</t>
    </r>
  </si>
  <si>
    <r>
      <rPr>
        <sz val="9"/>
        <rFont val="Noto Sans CJK SC"/>
        <family val="2"/>
      </rPr>
      <t xml:space="preserve">진공건조기 사진</t>
    </r>
    <r>
      <rPr>
        <sz val="9"/>
        <rFont val="맑은 고딕"/>
        <family val="0"/>
        <charset val="1"/>
      </rPr>
      <t xml:space="preserve">.zip</t>
    </r>
  </si>
  <si>
    <r>
      <rPr>
        <sz val="9"/>
        <rFont val="맑은 고딕"/>
        <family val="0"/>
        <charset val="1"/>
      </rPr>
      <t xml:space="preserve">0_</t>
    </r>
    <r>
      <rPr>
        <sz val="9"/>
        <rFont val="Noto Sans CJK SC"/>
        <family val="2"/>
      </rPr>
      <t xml:space="preserve">누체필터 사진 송부 건</t>
    </r>
    <r>
      <rPr>
        <sz val="9"/>
        <rFont val="맑은 고딕"/>
        <family val="0"/>
        <charset val="1"/>
      </rPr>
      <t xml:space="preserve">_161017.zip</t>
    </r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</si>
  <si>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/GD160803-</t>
    </r>
    <r>
      <rPr>
        <sz val="9"/>
        <rFont val="Noto Sans CJK SC"/>
        <family val="2"/>
      </rPr>
      <t xml:space="preserve">누체필터</t>
    </r>
    <r>
      <rPr>
        <sz val="9"/>
        <rFont val="맑은 고딕"/>
        <family val="0"/>
        <charset val="1"/>
      </rPr>
      <t xml:space="preserve">10L/</t>
    </r>
    <r>
      <rPr>
        <sz val="9"/>
        <rFont val="Noto Sans CJK SC"/>
        <family val="2"/>
      </rPr>
      <t xml:space="preserve">제작관련사진</t>
    </r>
  </si>
  <si>
    <r>
      <rPr>
        <sz val="9"/>
        <rFont val="Noto Sans CJK SC"/>
        <family val="2"/>
      </rPr>
      <t xml:space="preserve">누체필터 관련사진</t>
    </r>
    <r>
      <rPr>
        <sz val="9"/>
        <rFont val="맑은 고딕"/>
        <family val="0"/>
        <charset val="1"/>
      </rPr>
      <t xml:space="preserve">.zip</t>
    </r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</si>
  <si>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/GD160803-</t>
    </r>
    <r>
      <rPr>
        <sz val="9"/>
        <rFont val="Noto Sans CJK SC"/>
        <family val="2"/>
      </rPr>
      <t xml:space="preserve">누체필터</t>
    </r>
    <r>
      <rPr>
        <sz val="9"/>
        <rFont val="맑은 고딕"/>
        <family val="0"/>
        <charset val="1"/>
      </rPr>
      <t xml:space="preserve">10L/</t>
    </r>
    <r>
      <rPr>
        <sz val="9"/>
        <rFont val="Noto Sans CJK SC"/>
        <family val="2"/>
      </rPr>
      <t xml:space="preserve">제작관련사진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직박구리</t>
    </r>
  </si>
  <si>
    <t xml:space="preserve">161027.zip</t>
  </si>
  <si>
    <t xml:space="preserve">2016-10-27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</si>
  <si>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/GD160803-</t>
    </r>
    <r>
      <rPr>
        <sz val="9"/>
        <rFont val="Noto Sans CJK SC"/>
        <family val="2"/>
      </rPr>
      <t xml:space="preserve">누체필터</t>
    </r>
    <r>
      <rPr>
        <sz val="9"/>
        <rFont val="맑은 고딕"/>
        <family val="0"/>
        <charset val="1"/>
      </rPr>
      <t xml:space="preserve">10L/</t>
    </r>
    <r>
      <rPr>
        <sz val="9"/>
        <rFont val="Noto Sans CJK SC"/>
        <family val="2"/>
      </rPr>
      <t xml:space="preserve">제작관련사진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해오라기</t>
    </r>
  </si>
  <si>
    <t xml:space="preserve">1025.zip</t>
  </si>
  <si>
    <t xml:space="preserve">2016-10-26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</si>
  <si>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/GD160803-</t>
    </r>
    <r>
      <rPr>
        <sz val="9"/>
        <rFont val="Noto Sans CJK SC"/>
        <family val="2"/>
      </rPr>
      <t xml:space="preserve">누체필터</t>
    </r>
    <r>
      <rPr>
        <sz val="9"/>
        <rFont val="맑은 고딕"/>
        <family val="0"/>
        <charset val="1"/>
      </rPr>
      <t xml:space="preserve">10L/</t>
    </r>
    <r>
      <rPr>
        <sz val="9"/>
        <rFont val="Noto Sans CJK SC"/>
        <family val="2"/>
      </rPr>
      <t xml:space="preserve">제출자료</t>
    </r>
  </si>
  <si>
    <r>
      <rPr>
        <sz val="9"/>
        <rFont val="맑은 고딕"/>
        <family val="0"/>
        <charset val="1"/>
      </rPr>
      <t xml:space="preserve">10L</t>
    </r>
    <r>
      <rPr>
        <sz val="9"/>
        <rFont val="Noto Sans CJK SC"/>
        <family val="2"/>
      </rPr>
      <t xml:space="preserve">누체필터 관련자료</t>
    </r>
    <r>
      <rPr>
        <sz val="9"/>
        <rFont val="맑은 고딕"/>
        <family val="0"/>
        <charset val="1"/>
      </rPr>
      <t xml:space="preserve">.zip</t>
    </r>
  </si>
  <si>
    <r>
      <rPr>
        <sz val="9"/>
        <rFont val="Noto Sans CJK SC"/>
        <family val="2"/>
      </rPr>
      <t xml:space="preserve">부품</t>
    </r>
    <r>
      <rPr>
        <sz val="9"/>
        <rFont val="맑은 고딕"/>
        <family val="0"/>
        <charset val="1"/>
      </rPr>
      <t xml:space="preserve">6.zip</t>
    </r>
  </si>
  <si>
    <r>
      <rPr>
        <sz val="9"/>
        <rFont val="맑은 고딕"/>
        <family val="0"/>
        <charset val="1"/>
      </rPr>
      <t xml:space="preserve">19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/GD1906-</t>
    </r>
    <r>
      <rPr>
        <sz val="9"/>
        <rFont val="Noto Sans CJK SC"/>
        <family val="2"/>
      </rPr>
      <t xml:space="preserve">저장탱크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대한열기</t>
    </r>
    <r>
      <rPr>
        <sz val="9"/>
        <rFont val="맑은 고딕"/>
        <family val="0"/>
        <charset val="1"/>
      </rPr>
      <t xml:space="preserve">/GD1905-01-02 3</t>
    </r>
    <r>
      <rPr>
        <sz val="9"/>
        <rFont val="Noto Sans CJK SC"/>
        <family val="2"/>
      </rPr>
      <t xml:space="preserve">차도면</t>
    </r>
  </si>
  <si>
    <r>
      <rPr>
        <sz val="9"/>
        <rFont val="맑은 고딕"/>
        <family val="0"/>
        <charset val="1"/>
      </rPr>
      <t xml:space="preserve">NI047-10-W01-C2M_Tank with insulation-SOLUGEL</t>
    </r>
    <r>
      <rPr>
        <sz val="9"/>
        <rFont val="Noto Sans CJK SC"/>
        <family val="2"/>
      </rPr>
      <t xml:space="preserve">용 </t>
    </r>
    <r>
      <rPr>
        <sz val="9"/>
        <rFont val="맑은 고딕"/>
        <family val="0"/>
        <charset val="1"/>
      </rPr>
      <t xml:space="preserve">3</t>
    </r>
    <r>
      <rPr>
        <sz val="9"/>
        <rFont val="Noto Sans CJK SC"/>
        <family val="2"/>
      </rPr>
      <t xml:space="preserve">기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대칭구조</t>
    </r>
    <r>
      <rPr>
        <sz val="9"/>
        <rFont val="맑은 고딕"/>
        <family val="0"/>
        <charset val="1"/>
      </rPr>
      <t xml:space="preserve">).zip</t>
    </r>
  </si>
  <si>
    <t xml:space="preserve">2019-12-31</t>
  </si>
  <si>
    <r>
      <rPr>
        <sz val="9"/>
        <rFont val="맑은 고딕"/>
        <family val="0"/>
        <charset val="1"/>
      </rPr>
      <t xml:space="preserve">NI047-10-W01-C2_Tank with insulation-HEC</t>
    </r>
    <r>
      <rPr>
        <sz val="9"/>
        <rFont val="Noto Sans CJK SC"/>
        <family val="2"/>
      </rPr>
      <t xml:space="preserve">용 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기</t>
    </r>
    <r>
      <rPr>
        <sz val="9"/>
        <rFont val="맑은 고딕"/>
        <family val="0"/>
        <charset val="1"/>
      </rPr>
      <t xml:space="preserve">.zip</t>
    </r>
  </si>
  <si>
    <t xml:space="preserve">GD1606-01-00-VD100L.pdf</t>
  </si>
  <si>
    <t xml:space="preserve">.pdf</t>
  </si>
  <si>
    <t xml:space="preserve">GD1606-01-01B.pdf</t>
  </si>
  <si>
    <r>
      <rPr>
        <sz val="9"/>
        <rFont val="맑은 고딕"/>
        <family val="0"/>
        <charset val="1"/>
      </rPr>
      <t xml:space="preserve">GT1608-</t>
    </r>
    <r>
      <rPr>
        <sz val="9"/>
        <rFont val="Noto Sans CJK SC"/>
        <family val="2"/>
      </rPr>
      <t xml:space="preserve">진공 건조기 제작 일정표</t>
    </r>
    <r>
      <rPr>
        <sz val="9"/>
        <rFont val="맑은 고딕"/>
        <family val="0"/>
        <charset val="1"/>
      </rPr>
      <t xml:space="preserve">160905.pdf</t>
    </r>
  </si>
  <si>
    <t xml:space="preserve">2016-09-06</t>
  </si>
  <si>
    <t xml:space="preserve">POLISHING TESTER.pdf</t>
  </si>
  <si>
    <t xml:space="preserve">VD0EQ01A-DA1608.pdf</t>
  </si>
  <si>
    <t xml:space="preserve">2016-08-16</t>
  </si>
  <si>
    <t xml:space="preserve">VD0EQ01A-DA1608A.pdf</t>
  </si>
  <si>
    <r>
      <rPr>
        <sz val="9"/>
        <rFont val="Noto Sans CJK SC"/>
        <family val="2"/>
      </rPr>
      <t xml:space="preserve">진공건조기 승인 도면</t>
    </r>
    <r>
      <rPr>
        <sz val="9"/>
        <rFont val="맑은 고딕"/>
        <family val="0"/>
        <charset val="1"/>
      </rPr>
      <t xml:space="preserve">.pdf</t>
    </r>
  </si>
  <si>
    <t xml:space="preserve">2016-09-05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</si>
  <si>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/GD160801-</t>
    </r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문서관련</t>
    </r>
  </si>
  <si>
    <r>
      <rPr>
        <sz val="9"/>
        <rFont val="맑은 고딕"/>
        <family val="0"/>
        <charset val="1"/>
      </rPr>
      <t xml:space="preserve">1607-124 </t>
    </r>
    <r>
      <rPr>
        <sz val="9"/>
        <rFont val="Noto Sans CJK SC"/>
        <family val="2"/>
      </rPr>
      <t xml:space="preserve">경동글로벌텍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발주서</t>
    </r>
    <r>
      <rPr>
        <sz val="9"/>
        <rFont val="맑은 고딕"/>
        <family val="0"/>
        <charset val="1"/>
      </rPr>
      <t xml:space="preserve">.pdf</t>
    </r>
  </si>
  <si>
    <t xml:space="preserve">2016-08-02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</si>
  <si>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/GD160801-</t>
    </r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문서관련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제출자료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도면</t>
    </r>
  </si>
  <si>
    <r>
      <rPr>
        <sz val="9"/>
        <rFont val="Noto Sans CJK SC"/>
        <family val="2"/>
      </rPr>
      <t xml:space="preserve">진공건조기 최종 도면</t>
    </r>
    <r>
      <rPr>
        <sz val="9"/>
        <rFont val="맑은 고딕"/>
        <family val="0"/>
        <charset val="1"/>
      </rPr>
      <t xml:space="preserve">.pdf</t>
    </r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</si>
  <si>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/GD160801-</t>
    </r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문서관련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제출자료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버핑성적서</t>
    </r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</si>
  <si>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/GD160801-</t>
    </r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문서관련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제출자료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재질성적서</t>
    </r>
  </si>
  <si>
    <t xml:space="preserve">304 5t.pdf</t>
  </si>
  <si>
    <t xml:space="preserve">2016-08-17</t>
  </si>
  <si>
    <t xml:space="preserve">316L 15T 28T.pdf</t>
  </si>
  <si>
    <t xml:space="preserve">2016-11-16</t>
  </si>
  <si>
    <t xml:space="preserve">316L 25T 40T 45T.pdf</t>
  </si>
  <si>
    <t xml:space="preserve">316L 6T.pdf</t>
  </si>
  <si>
    <t xml:space="preserve">30LT JACKET VESSEL (SUS 316L).pdf</t>
  </si>
  <si>
    <t xml:space="preserve">4811_0001.pdf</t>
  </si>
  <si>
    <t xml:space="preserve">4883_0001.pdf</t>
  </si>
  <si>
    <t xml:space="preserve">2016-11-01</t>
  </si>
  <si>
    <t xml:space="preserve">BUTTOM BALL VALVE-.pdf</t>
  </si>
  <si>
    <r>
      <rPr>
        <sz val="9"/>
        <rFont val="맑은 고딕"/>
        <family val="0"/>
        <charset val="1"/>
      </rPr>
      <t xml:space="preserve">GD160802-</t>
    </r>
    <r>
      <rPr>
        <sz val="9"/>
        <rFont val="Noto Sans CJK SC"/>
        <family val="2"/>
      </rPr>
      <t xml:space="preserve">반응기</t>
    </r>
    <r>
      <rPr>
        <sz val="9"/>
        <rFont val="맑은 고딕"/>
        <family val="0"/>
        <charset val="1"/>
      </rPr>
      <t xml:space="preserve">30L.pdf</t>
    </r>
  </si>
  <si>
    <t xml:space="preserve">GD160803-nutsche filter-10L.pdf</t>
  </si>
  <si>
    <r>
      <rPr>
        <sz val="9"/>
        <rFont val="맑은 고딕"/>
        <family val="0"/>
        <charset val="1"/>
      </rPr>
      <t xml:space="preserve">GD160803-</t>
    </r>
    <r>
      <rPr>
        <sz val="9"/>
        <rFont val="Noto Sans CJK SC"/>
        <family val="2"/>
      </rPr>
      <t xml:space="preserve">누체필터 </t>
    </r>
    <r>
      <rPr>
        <sz val="9"/>
        <rFont val="맑은 고딕"/>
        <family val="0"/>
        <charset val="1"/>
      </rPr>
      <t xml:space="preserve">10L </t>
    </r>
    <r>
      <rPr>
        <sz val="9"/>
        <rFont val="Noto Sans CJK SC"/>
        <family val="2"/>
      </rPr>
      <t xml:space="preserve">도면</t>
    </r>
    <r>
      <rPr>
        <sz val="9"/>
        <rFont val="맑은 고딕"/>
        <family val="0"/>
        <charset val="1"/>
      </rPr>
      <t xml:space="preserve">.pdf</t>
    </r>
  </si>
  <si>
    <r>
      <rPr>
        <sz val="9"/>
        <rFont val="맑은 고딕"/>
        <family val="0"/>
        <charset val="1"/>
      </rPr>
      <t xml:space="preserve">GD160803-</t>
    </r>
    <r>
      <rPr>
        <sz val="9"/>
        <rFont val="Noto Sans CJK SC"/>
        <family val="2"/>
      </rPr>
      <t xml:space="preserve">누체필터 회의록 </t>
    </r>
    <r>
      <rPr>
        <sz val="9"/>
        <rFont val="맑은 고딕"/>
        <family val="0"/>
        <charset val="1"/>
      </rPr>
      <t xml:space="preserve">161018.pdf</t>
    </r>
  </si>
  <si>
    <r>
      <rPr>
        <sz val="9"/>
        <rFont val="맑은 고딕"/>
        <family val="0"/>
        <charset val="1"/>
      </rPr>
      <t xml:space="preserve">GD160803-</t>
    </r>
    <r>
      <rPr>
        <sz val="9"/>
        <rFont val="Noto Sans CJK SC"/>
        <family val="2"/>
      </rPr>
      <t xml:space="preserve">누체필터 회의록 </t>
    </r>
    <r>
      <rPr>
        <sz val="9"/>
        <rFont val="맑은 고딕"/>
        <family val="0"/>
        <charset val="1"/>
      </rPr>
      <t xml:space="preserve">161023.pdf</t>
    </r>
  </si>
  <si>
    <t xml:space="preserve">316L 15T 16T 20T 25T.pdf</t>
  </si>
  <si>
    <t xml:space="preserve">316L 25T.pdf</t>
  </si>
  <si>
    <t xml:space="preserve">316L 4t.pdf</t>
  </si>
  <si>
    <r>
      <rPr>
        <sz val="9"/>
        <rFont val="Noto Sans CJK SC"/>
        <family val="2"/>
      </rPr>
      <t xml:space="preserve">표면조도</t>
    </r>
    <r>
      <rPr>
        <sz val="9"/>
        <rFont val="맑은 고딕"/>
        <family val="0"/>
        <charset val="1"/>
      </rPr>
      <t xml:space="preserve">-1611.pdf</t>
    </r>
  </si>
  <si>
    <r>
      <rPr>
        <sz val="9"/>
        <rFont val="맑은 고딕"/>
        <family val="0"/>
        <charset val="1"/>
      </rPr>
      <t xml:space="preserve">1220 VAT </t>
    </r>
    <r>
      <rPr>
        <sz val="9"/>
        <rFont val="Noto Sans CJK SC"/>
        <family val="2"/>
      </rPr>
      <t xml:space="preserve">견적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원명에스티에스</t>
    </r>
    <r>
      <rPr>
        <sz val="9"/>
        <rFont val="맑은 고딕"/>
        <family val="0"/>
        <charset val="1"/>
      </rPr>
      <t xml:space="preserve">pdf.pdf</t>
    </r>
  </si>
  <si>
    <r>
      <rPr>
        <sz val="9"/>
        <rFont val="맑은 고딕"/>
        <family val="0"/>
        <charset val="1"/>
      </rPr>
      <t xml:space="preserve">160919-</t>
    </r>
    <r>
      <rPr>
        <sz val="9"/>
        <rFont val="Noto Sans CJK SC"/>
        <family val="2"/>
      </rPr>
      <t xml:space="preserve">경동글로벌텍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발주서</t>
    </r>
    <r>
      <rPr>
        <sz val="9"/>
        <rFont val="맑은 고딕"/>
        <family val="0"/>
        <charset val="1"/>
      </rPr>
      <t xml:space="preserve">.pdf</t>
    </r>
  </si>
  <si>
    <t xml:space="preserve">GD1606-01-00A.pdf</t>
  </si>
  <si>
    <t xml:space="preserve">GD1606-04-00-VD200L.pdf</t>
  </si>
  <si>
    <t xml:space="preserve">GD1606-04-00.pdf</t>
  </si>
  <si>
    <r>
      <rPr>
        <sz val="9"/>
        <rFont val="맑은 고딕"/>
        <family val="0"/>
        <charset val="1"/>
      </rPr>
      <t xml:space="preserve">GD160804-01-00B-</t>
    </r>
    <r>
      <rPr>
        <sz val="9"/>
        <rFont val="Noto Sans CJK SC"/>
        <family val="2"/>
      </rPr>
      <t xml:space="preserve">최종</t>
    </r>
    <r>
      <rPr>
        <sz val="9"/>
        <rFont val="맑은 고딕"/>
        <family val="0"/>
        <charset val="1"/>
      </rPr>
      <t xml:space="preserve">.pdf</t>
    </r>
  </si>
  <si>
    <t xml:space="preserve">2016-12-05</t>
  </si>
  <si>
    <t xml:space="preserve">GD160804-02-00.pdf</t>
  </si>
  <si>
    <r>
      <rPr>
        <sz val="9"/>
        <rFont val="맑은 고딕"/>
        <family val="0"/>
        <charset val="1"/>
      </rPr>
      <t xml:space="preserve">GD160804-02-00A-</t>
    </r>
    <r>
      <rPr>
        <sz val="9"/>
        <rFont val="Noto Sans CJK SC"/>
        <family val="2"/>
      </rPr>
      <t xml:space="preserve">최종</t>
    </r>
    <r>
      <rPr>
        <sz val="9"/>
        <rFont val="맑은 고딕"/>
        <family val="0"/>
        <charset val="1"/>
      </rPr>
      <t xml:space="preserve">.pdf</t>
    </r>
  </si>
  <si>
    <t xml:space="preserve">GD160804-02-00A.pdf</t>
  </si>
  <si>
    <t xml:space="preserve">2016-11-14</t>
  </si>
  <si>
    <t xml:space="preserve">GD160804-03-00.pdf</t>
  </si>
  <si>
    <t xml:space="preserve">GD160804-03-00A.pdf</t>
  </si>
  <si>
    <t xml:space="preserve">GD160804-03-00B.pdf</t>
  </si>
  <si>
    <t xml:space="preserve">GD160804-04-00A.pdf</t>
  </si>
  <si>
    <t xml:space="preserve">GD160804-04-00B.pdf</t>
  </si>
  <si>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-00.pdf</t>
    </r>
  </si>
  <si>
    <r>
      <rPr>
        <sz val="9"/>
        <rFont val="맑은 고딕"/>
        <family val="0"/>
        <charset val="1"/>
      </rPr>
      <t xml:space="preserve">GD160805-00-150L </t>
    </r>
    <r>
      <rPr>
        <sz val="9"/>
        <rFont val="Noto Sans CJK SC"/>
        <family val="2"/>
      </rPr>
      <t xml:space="preserve">최종</t>
    </r>
    <r>
      <rPr>
        <sz val="9"/>
        <rFont val="맑은 고딕"/>
        <family val="0"/>
        <charset val="1"/>
      </rPr>
      <t xml:space="preserve">A.pdf</t>
    </r>
  </si>
  <si>
    <r>
      <rPr>
        <sz val="9"/>
        <rFont val="맑은 고딕"/>
        <family val="0"/>
        <charset val="1"/>
      </rPr>
      <t xml:space="preserve">GD160805-00-50L </t>
    </r>
    <r>
      <rPr>
        <sz val="9"/>
        <rFont val="Noto Sans CJK SC"/>
        <family val="2"/>
      </rPr>
      <t xml:space="preserve">최종</t>
    </r>
    <r>
      <rPr>
        <sz val="9"/>
        <rFont val="맑은 고딕"/>
        <family val="0"/>
        <charset val="1"/>
      </rPr>
      <t xml:space="preserve">.pdf</t>
    </r>
  </si>
  <si>
    <r>
      <rPr>
        <sz val="9"/>
        <rFont val="맑은 고딕"/>
        <family val="0"/>
        <charset val="1"/>
      </rPr>
      <t xml:space="preserve">GD160805-00-</t>
    </r>
    <r>
      <rPr>
        <sz val="9"/>
        <rFont val="Noto Sans CJK SC"/>
        <family val="2"/>
      </rPr>
      <t xml:space="preserve">필터포</t>
    </r>
    <r>
      <rPr>
        <sz val="9"/>
        <rFont val="맑은 고딕"/>
        <family val="0"/>
        <charset val="1"/>
      </rPr>
      <t xml:space="preserve">.pdf</t>
    </r>
  </si>
  <si>
    <t xml:space="preserve">GD160805-01-00.pdf</t>
  </si>
  <si>
    <t xml:space="preserve">GD160805-01-00A.pdf</t>
  </si>
  <si>
    <r>
      <rPr>
        <sz val="9"/>
        <rFont val="맑은 고딕"/>
        <family val="0"/>
        <charset val="1"/>
      </rPr>
      <t xml:space="preserve">GD160805-01-150L </t>
    </r>
    <r>
      <rPr>
        <sz val="9"/>
        <rFont val="Noto Sans CJK SC"/>
        <family val="2"/>
      </rPr>
      <t xml:space="preserve">최종</t>
    </r>
    <r>
      <rPr>
        <sz val="9"/>
        <rFont val="맑은 고딕"/>
        <family val="0"/>
        <charset val="1"/>
      </rPr>
      <t xml:space="preserve">.pdf</t>
    </r>
  </si>
  <si>
    <r>
      <rPr>
        <sz val="9"/>
        <rFont val="맑은 고딕"/>
        <family val="0"/>
        <charset val="1"/>
      </rPr>
      <t xml:space="preserve">GD160805-01-50L </t>
    </r>
    <r>
      <rPr>
        <sz val="9"/>
        <rFont val="Noto Sans CJK SC"/>
        <family val="2"/>
      </rPr>
      <t xml:space="preserve">최종</t>
    </r>
    <r>
      <rPr>
        <sz val="9"/>
        <rFont val="맑은 고딕"/>
        <family val="0"/>
        <charset val="1"/>
      </rPr>
      <t xml:space="preserve">A.pdf</t>
    </r>
  </si>
  <si>
    <t xml:space="preserve">GD160805-02-00.pdf</t>
  </si>
  <si>
    <t xml:space="preserve">2016-11-17</t>
  </si>
  <si>
    <t xml:space="preserve">GD160805-02-00A.pdf</t>
  </si>
  <si>
    <r>
      <rPr>
        <sz val="9"/>
        <rFont val="Noto Sans CJK SC"/>
        <family val="2"/>
      </rPr>
      <t xml:space="preserve">누체필터 계약서</t>
    </r>
    <r>
      <rPr>
        <sz val="9"/>
        <rFont val="맑은 고딕"/>
        <family val="0"/>
        <charset val="1"/>
      </rPr>
      <t xml:space="preserve">.pdf</t>
    </r>
  </si>
  <si>
    <t xml:space="preserve">2016-11-11</t>
  </si>
  <si>
    <r>
      <rPr>
        <sz val="9"/>
        <rFont val="Noto Sans CJK SC"/>
        <family val="2"/>
      </rPr>
      <t xml:space="preserve">첨부</t>
    </r>
    <r>
      <rPr>
        <sz val="9"/>
        <rFont val="맑은 고딕"/>
        <family val="0"/>
        <charset val="1"/>
      </rPr>
      <t xml:space="preserve">_</t>
    </r>
    <r>
      <rPr>
        <sz val="9"/>
        <rFont val="Noto Sans CJK SC"/>
        <family val="2"/>
      </rPr>
      <t xml:space="preserve">견적서</t>
    </r>
    <r>
      <rPr>
        <sz val="9"/>
        <rFont val="맑은 고딕"/>
        <family val="0"/>
        <charset val="1"/>
      </rPr>
      <t xml:space="preserve">_1128-</t>
    </r>
    <r>
      <rPr>
        <sz val="9"/>
        <rFont val="Noto Sans CJK SC"/>
        <family val="2"/>
      </rPr>
      <t xml:space="preserve">태양기어</t>
    </r>
    <r>
      <rPr>
        <sz val="9"/>
        <rFont val="맑은 고딕"/>
        <family val="0"/>
        <charset val="1"/>
      </rPr>
      <t xml:space="preserve">.pdf</t>
    </r>
  </si>
  <si>
    <t xml:space="preserve">BUCKET.pdf</t>
  </si>
  <si>
    <t xml:space="preserve">2017-09-01</t>
  </si>
  <si>
    <r>
      <rPr>
        <sz val="9"/>
        <rFont val="맑은 고딕"/>
        <family val="0"/>
        <charset val="1"/>
      </rPr>
      <t xml:space="preserve">GD170402-</t>
    </r>
    <r>
      <rPr>
        <sz val="9"/>
        <rFont val="Noto Sans CJK SC"/>
        <family val="2"/>
      </rPr>
      <t xml:space="preserve">두루텍 센딩기 제작 견적</t>
    </r>
    <r>
      <rPr>
        <sz val="9"/>
        <rFont val="맑은 고딕"/>
        <family val="0"/>
        <charset val="1"/>
      </rPr>
      <t xml:space="preserve">-170908.pdf</t>
    </r>
  </si>
  <si>
    <r>
      <rPr>
        <sz val="9"/>
        <rFont val="맑은 고딕"/>
        <family val="0"/>
        <charset val="1"/>
      </rPr>
      <t xml:space="preserve">GD170402-</t>
    </r>
    <r>
      <rPr>
        <sz val="9"/>
        <rFont val="Noto Sans CJK SC"/>
        <family val="2"/>
      </rPr>
      <t xml:space="preserve">센딩기</t>
    </r>
    <r>
      <rPr>
        <sz val="9"/>
        <rFont val="맑은 고딕"/>
        <family val="0"/>
        <charset val="1"/>
      </rPr>
      <t xml:space="preserve">.pdf</t>
    </r>
  </si>
  <si>
    <r>
      <rPr>
        <sz val="9"/>
        <rFont val="맑은 고딕"/>
        <family val="0"/>
        <charset val="1"/>
      </rPr>
      <t xml:space="preserve">GD170402-</t>
    </r>
    <r>
      <rPr>
        <sz val="9"/>
        <rFont val="Noto Sans CJK SC"/>
        <family val="2"/>
      </rPr>
      <t xml:space="preserve">센딩탱크 계약서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경동글로벌텍</t>
    </r>
    <r>
      <rPr>
        <sz val="9"/>
        <rFont val="맑은 고딕"/>
        <family val="0"/>
        <charset val="1"/>
      </rPr>
      <t xml:space="preserve">.pdf</t>
    </r>
  </si>
  <si>
    <r>
      <rPr>
        <sz val="9"/>
        <rFont val="맑은 고딕"/>
        <family val="0"/>
        <charset val="1"/>
      </rPr>
      <t xml:space="preserve">GD170601-00-</t>
    </r>
    <r>
      <rPr>
        <sz val="9"/>
        <rFont val="Noto Sans CJK SC"/>
        <family val="2"/>
      </rPr>
      <t xml:space="preserve">리시버탱크</t>
    </r>
    <r>
      <rPr>
        <sz val="9"/>
        <rFont val="맑은 고딕"/>
        <family val="0"/>
        <charset val="1"/>
      </rPr>
      <t xml:space="preserve">.pdf</t>
    </r>
  </si>
  <si>
    <r>
      <rPr>
        <sz val="9"/>
        <rFont val="맑은 고딕"/>
        <family val="0"/>
        <charset val="1"/>
      </rPr>
      <t xml:space="preserve">GD170601-00-</t>
    </r>
    <r>
      <rPr>
        <sz val="9"/>
        <rFont val="Noto Sans CJK SC"/>
        <family val="2"/>
      </rPr>
      <t xml:space="preserve">리시버탱크</t>
    </r>
    <r>
      <rPr>
        <sz val="9"/>
        <rFont val="맑은 고딕"/>
        <family val="0"/>
        <charset val="1"/>
      </rPr>
      <t xml:space="preserve">170729.pdf</t>
    </r>
  </si>
  <si>
    <t xml:space="preserve">2017-07-28</t>
  </si>
  <si>
    <t xml:space="preserve">GD180201-00-DIE.pdf</t>
  </si>
  <si>
    <t xml:space="preserve">GD180201-00-FOOT BASE.pdf</t>
  </si>
  <si>
    <t xml:space="preserve">GD180201-00-SUPPORT FRAME.pdf</t>
  </si>
  <si>
    <t xml:space="preserve">GD180201-00.pdf</t>
  </si>
  <si>
    <t xml:space="preserve">2018-01-19</t>
  </si>
  <si>
    <r>
      <rPr>
        <sz val="9"/>
        <rFont val="맑은 고딕"/>
        <family val="0"/>
        <charset val="1"/>
      </rPr>
      <t xml:space="preserve">GT1802-02-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경동글로벌텍</t>
    </r>
    <r>
      <rPr>
        <sz val="9"/>
        <rFont val="맑은 고딕"/>
        <family val="0"/>
        <charset val="1"/>
      </rPr>
      <t xml:space="preserve">.pdf</t>
    </r>
  </si>
  <si>
    <t xml:space="preserve">2018-02-14</t>
  </si>
  <si>
    <t xml:space="preserve">HEAT_EX_101 Model.pdf</t>
  </si>
  <si>
    <r>
      <rPr>
        <sz val="9"/>
        <rFont val="Noto Sans CJK SC"/>
        <family val="2"/>
      </rPr>
      <t xml:space="preserve">열교환기</t>
    </r>
    <r>
      <rPr>
        <sz val="9"/>
        <rFont val="맑은 고딕"/>
        <family val="0"/>
        <charset val="1"/>
      </rPr>
      <t xml:space="preserve">.pdf</t>
    </r>
  </si>
  <si>
    <r>
      <rPr>
        <sz val="9"/>
        <rFont val="Noto Sans CJK SC"/>
        <family val="2"/>
      </rPr>
      <t xml:space="preserve">열교환기</t>
    </r>
    <r>
      <rPr>
        <sz val="9"/>
        <rFont val="맑은 고딕"/>
        <family val="0"/>
        <charset val="1"/>
      </rPr>
      <t xml:space="preserve">A.pdf</t>
    </r>
  </si>
  <si>
    <r>
      <rPr>
        <sz val="9"/>
        <rFont val="Noto Sans CJK SC"/>
        <family val="2"/>
      </rPr>
      <t xml:space="preserve">열교환기</t>
    </r>
    <r>
      <rPr>
        <sz val="9"/>
        <rFont val="맑은 고딕"/>
        <family val="0"/>
        <charset val="1"/>
      </rPr>
      <t xml:space="preserve">B.pdf</t>
    </r>
  </si>
  <si>
    <r>
      <rPr>
        <sz val="9"/>
        <rFont val="맑은 고딕"/>
        <family val="0"/>
        <charset val="1"/>
      </rPr>
      <t xml:space="preserve">1904-135 </t>
    </r>
    <r>
      <rPr>
        <sz val="9"/>
        <rFont val="Noto Sans CJK SC"/>
        <family val="2"/>
      </rPr>
      <t xml:space="preserve">경동글로벌텍 수정발주서</t>
    </r>
    <r>
      <rPr>
        <sz val="9"/>
        <rFont val="맑은 고딕"/>
        <family val="0"/>
        <charset val="1"/>
      </rPr>
      <t xml:space="preserve">.pdf</t>
    </r>
  </si>
  <si>
    <t xml:space="preserve">2019-06-26</t>
  </si>
  <si>
    <r>
      <rPr>
        <sz val="9"/>
        <rFont val="맑은 고딕"/>
        <family val="0"/>
        <charset val="1"/>
      </rPr>
      <t xml:space="preserve">304 5T 1219 (2019</t>
    </r>
    <r>
      <rPr>
        <sz val="9"/>
        <rFont val="Noto Sans CJK SC"/>
        <family val="2"/>
      </rPr>
      <t xml:space="preserve">디</t>
    </r>
    <r>
      <rPr>
        <sz val="9"/>
        <rFont val="맑은 고딕"/>
        <family val="0"/>
        <charset val="1"/>
      </rPr>
      <t xml:space="preserve">) QFQ1131.pdf</t>
    </r>
  </si>
  <si>
    <t xml:space="preserve">2019-06-25</t>
  </si>
  <si>
    <r>
      <rPr>
        <sz val="9"/>
        <rFont val="맑은 고딕"/>
        <family val="0"/>
        <charset val="1"/>
      </rPr>
      <t xml:space="preserve">GD1904-01-</t>
    </r>
    <r>
      <rPr>
        <sz val="9"/>
        <rFont val="Noto Sans CJK SC"/>
        <family val="2"/>
      </rPr>
      <t xml:space="preserve">경동제약 진공건조기 수리 견적</t>
    </r>
    <r>
      <rPr>
        <sz val="9"/>
        <rFont val="맑은 고딕"/>
        <family val="0"/>
        <charset val="1"/>
      </rPr>
      <t xml:space="preserve">.pdf</t>
    </r>
  </si>
  <si>
    <t xml:space="preserve">2019-04-18</t>
  </si>
  <si>
    <r>
      <rPr>
        <sz val="9"/>
        <rFont val="맑은 고딕"/>
        <family val="0"/>
        <charset val="1"/>
      </rPr>
      <t xml:space="preserve">SJ1904-01-</t>
    </r>
    <r>
      <rPr>
        <sz val="9"/>
        <rFont val="Noto Sans CJK SC"/>
        <family val="2"/>
      </rPr>
      <t xml:space="preserve">리시버탱크 </t>
    </r>
    <r>
      <rPr>
        <sz val="9"/>
        <rFont val="맑은 고딕"/>
        <family val="0"/>
        <charset val="1"/>
      </rPr>
      <t xml:space="preserve">0.5M-A.pdf</t>
    </r>
  </si>
  <si>
    <r>
      <rPr>
        <sz val="9"/>
        <rFont val="맑은 고딕"/>
        <family val="0"/>
        <charset val="1"/>
      </rPr>
      <t xml:space="preserve">SJ1904-01-</t>
    </r>
    <r>
      <rPr>
        <sz val="9"/>
        <rFont val="Noto Sans CJK SC"/>
        <family val="2"/>
      </rPr>
      <t xml:space="preserve">리시버탱크 </t>
    </r>
    <r>
      <rPr>
        <sz val="9"/>
        <rFont val="맑은 고딕"/>
        <family val="0"/>
        <charset val="1"/>
      </rPr>
      <t xml:space="preserve">0.5M.pdf</t>
    </r>
  </si>
  <si>
    <t xml:space="preserve">1063_0001.pdf</t>
  </si>
  <si>
    <r>
      <rPr>
        <sz val="9"/>
        <rFont val="맑은 고딕"/>
        <family val="0"/>
        <charset val="1"/>
      </rPr>
      <t xml:space="preserve">DIN </t>
    </r>
    <r>
      <rPr>
        <sz val="9"/>
        <rFont val="Noto Sans CJK SC"/>
        <family val="2"/>
      </rPr>
      <t xml:space="preserve">치수표</t>
    </r>
    <r>
      <rPr>
        <sz val="9"/>
        <rFont val="맑은 고딕"/>
        <family val="0"/>
        <charset val="1"/>
      </rPr>
      <t xml:space="preserve">_PN10 </t>
    </r>
    <r>
      <rPr>
        <sz val="9"/>
        <rFont val="Noto Sans CJK SC"/>
        <family val="2"/>
      </rPr>
      <t xml:space="preserve">제품기준</t>
    </r>
    <r>
      <rPr>
        <sz val="9"/>
        <rFont val="맑은 고딕"/>
        <family val="0"/>
        <charset val="1"/>
      </rPr>
      <t xml:space="preserve">.pdf</t>
    </r>
  </si>
  <si>
    <r>
      <rPr>
        <sz val="9"/>
        <rFont val="맑은 고딕"/>
        <family val="0"/>
        <charset val="1"/>
      </rPr>
      <t xml:space="preserve">GD1905-01-00 </t>
    </r>
    <r>
      <rPr>
        <sz val="9"/>
        <rFont val="Noto Sans CJK SC"/>
        <family val="2"/>
      </rPr>
      <t xml:space="preserve">막힘플렌지 규격</t>
    </r>
    <r>
      <rPr>
        <sz val="9"/>
        <rFont val="맑은 고딕"/>
        <family val="0"/>
        <charset val="1"/>
      </rPr>
      <t xml:space="preserve">.pdf</t>
    </r>
  </si>
  <si>
    <t xml:space="preserve">GD1905-01-SHELL BODY.pdf</t>
  </si>
  <si>
    <r>
      <rPr>
        <sz val="9"/>
        <rFont val="맑은 고딕"/>
        <family val="0"/>
        <charset val="1"/>
      </rPr>
      <t xml:space="preserve">GD1905-01-</t>
    </r>
    <r>
      <rPr>
        <sz val="9"/>
        <rFont val="Noto Sans CJK SC"/>
        <family val="2"/>
      </rPr>
      <t xml:space="preserve">용접부위도</t>
    </r>
    <r>
      <rPr>
        <sz val="9"/>
        <rFont val="맑은 고딕"/>
        <family val="0"/>
        <charset val="1"/>
      </rPr>
      <t xml:space="preserve">.pdf</t>
    </r>
  </si>
  <si>
    <r>
      <rPr>
        <sz val="9"/>
        <rFont val="맑은 고딕"/>
        <family val="0"/>
        <charset val="1"/>
      </rPr>
      <t xml:space="preserve">GD1906-</t>
    </r>
    <r>
      <rPr>
        <sz val="9"/>
        <rFont val="Noto Sans CJK SC"/>
        <family val="2"/>
      </rPr>
      <t xml:space="preserve">재질성적서</t>
    </r>
    <r>
      <rPr>
        <sz val="9"/>
        <rFont val="맑은 고딕"/>
        <family val="0"/>
        <charset val="1"/>
      </rPr>
      <t xml:space="preserve">.pdf</t>
    </r>
  </si>
  <si>
    <r>
      <rPr>
        <sz val="9"/>
        <rFont val="맑은 고딕"/>
        <family val="0"/>
        <charset val="1"/>
      </rPr>
      <t xml:space="preserve">JM </t>
    </r>
    <r>
      <rPr>
        <sz val="9"/>
        <rFont val="Noto Sans CJK SC"/>
        <family val="2"/>
      </rPr>
      <t xml:space="preserve">플렌지 성적서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전체</t>
    </r>
    <r>
      <rPr>
        <sz val="9"/>
        <rFont val="맑은 고딕"/>
        <family val="0"/>
        <charset val="1"/>
      </rPr>
      <t xml:space="preserve">).pdf</t>
    </r>
  </si>
  <si>
    <t xml:space="preserve">[DOOSAN][E-CUBE][GODO]-PID_ALL-ADDITIVE-2019.12.pdf</t>
  </si>
  <si>
    <r>
      <rPr>
        <sz val="9"/>
        <rFont val="Noto Sans CJK SC"/>
        <family val="2"/>
      </rPr>
      <t xml:space="preserve">용접봉 인증서</t>
    </r>
    <r>
      <rPr>
        <sz val="9"/>
        <rFont val="맑은 고딕"/>
        <family val="0"/>
        <charset val="1"/>
      </rPr>
      <t xml:space="preserve">-Declaration of Performance for CE.pdf</t>
    </r>
  </si>
  <si>
    <r>
      <rPr>
        <sz val="9"/>
        <rFont val="Noto Sans CJK SC"/>
        <family val="2"/>
      </rPr>
      <t xml:space="preserve">용접봉 인증서</t>
    </r>
    <r>
      <rPr>
        <sz val="9"/>
        <rFont val="맑은 고딕"/>
        <family val="0"/>
        <charset val="1"/>
      </rPr>
      <t xml:space="preserve">-Declaration-CE.pdf</t>
    </r>
  </si>
  <si>
    <r>
      <rPr>
        <sz val="9"/>
        <rFont val="Noto Sans CJK SC"/>
        <family val="2"/>
      </rPr>
      <t xml:space="preserve">용접봉 인증서</t>
    </r>
    <r>
      <rPr>
        <sz val="9"/>
        <rFont val="맑은 고딕"/>
        <family val="0"/>
        <charset val="1"/>
      </rPr>
      <t xml:space="preserve">-PED.pdf</t>
    </r>
  </si>
  <si>
    <r>
      <rPr>
        <sz val="9"/>
        <rFont val="Noto Sans CJK SC"/>
        <family val="2"/>
      </rPr>
      <t xml:space="preserve">헝가리 두산</t>
    </r>
    <r>
      <rPr>
        <sz val="9"/>
        <rFont val="맑은 고딕"/>
        <family val="0"/>
        <charset val="1"/>
      </rPr>
      <t xml:space="preserve">PJT_Inspection Certificate_Submit.pdf</t>
    </r>
  </si>
  <si>
    <t xml:space="preserve">NI047-10-W01-C_Tank with insulation.pdf</t>
  </si>
  <si>
    <t xml:space="preserve">2019-12-12</t>
  </si>
  <si>
    <t xml:space="preserve">NI047-10-W01-C_Tank with insulation_Revised.pdf</t>
  </si>
  <si>
    <t xml:space="preserve">2019-12-13</t>
  </si>
  <si>
    <r>
      <rPr>
        <sz val="9"/>
        <rFont val="Noto Sans CJK SC"/>
        <family val="2"/>
      </rPr>
      <t xml:space="preserve">헝가리 두산 </t>
    </r>
    <r>
      <rPr>
        <sz val="9"/>
        <rFont val="맑은 고딕"/>
        <family val="0"/>
        <charset val="1"/>
      </rPr>
      <t xml:space="preserve">PJT_</t>
    </r>
    <r>
      <rPr>
        <sz val="9"/>
        <rFont val="Noto Sans CJK SC"/>
        <family val="2"/>
      </rPr>
      <t xml:space="preserve">제작공정</t>
    </r>
    <r>
      <rPr>
        <sz val="9"/>
        <rFont val="맑은 고딕"/>
        <family val="0"/>
        <charset val="1"/>
      </rPr>
      <t xml:space="preserve">SCHEDULE.pdf</t>
    </r>
  </si>
  <si>
    <r>
      <rPr>
        <sz val="9"/>
        <rFont val="맑은 고딕"/>
        <family val="0"/>
        <charset val="1"/>
      </rPr>
      <t xml:space="preserve">DIN FLANGE </t>
    </r>
    <r>
      <rPr>
        <sz val="9"/>
        <rFont val="Noto Sans CJK SC"/>
        <family val="2"/>
      </rPr>
      <t xml:space="preserve">제원</t>
    </r>
    <r>
      <rPr>
        <sz val="9"/>
        <rFont val="맑은 고딕"/>
        <family val="0"/>
        <charset val="1"/>
      </rPr>
      <t xml:space="preserve">.pdf</t>
    </r>
  </si>
  <si>
    <t xml:space="preserve">2020-03-06</t>
  </si>
  <si>
    <r>
      <rPr>
        <sz val="9"/>
        <rFont val="맑은 고딕"/>
        <family val="0"/>
        <charset val="1"/>
      </rPr>
      <t xml:space="preserve">WELL-SUN-160L- </t>
    </r>
    <r>
      <rPr>
        <sz val="9"/>
        <rFont val="Noto Sans CJK SC"/>
        <family val="2"/>
      </rPr>
      <t xml:space="preserve">승인도면</t>
    </r>
    <r>
      <rPr>
        <sz val="9"/>
        <rFont val="맑은 고딕"/>
        <family val="0"/>
        <charset val="1"/>
      </rPr>
      <t xml:space="preserve">-1.pdf</t>
    </r>
  </si>
  <si>
    <r>
      <rPr>
        <sz val="9"/>
        <rFont val="Noto Sans CJK SC"/>
        <family val="2"/>
      </rPr>
      <t xml:space="preserve">성적서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제이엠프랜지</t>
    </r>
    <r>
      <rPr>
        <sz val="9"/>
        <rFont val="맑은 고딕"/>
        <family val="0"/>
        <charset val="1"/>
      </rPr>
      <t xml:space="preserve">).pdf</t>
    </r>
  </si>
  <si>
    <t xml:space="preserve">2020-03-20</t>
  </si>
  <si>
    <r>
      <rPr>
        <sz val="9"/>
        <rFont val="맑은 고딕"/>
        <family val="0"/>
        <charset val="1"/>
      </rPr>
      <t xml:space="preserve">GD2003-02-03 </t>
    </r>
    <r>
      <rPr>
        <sz val="9"/>
        <rFont val="Noto Sans CJK SC"/>
        <family val="2"/>
      </rPr>
      <t xml:space="preserve">선반가공</t>
    </r>
    <r>
      <rPr>
        <sz val="9"/>
        <rFont val="맑은 고딕"/>
        <family val="0"/>
        <charset val="1"/>
      </rPr>
      <t xml:space="preserve">A.pdf</t>
    </r>
  </si>
  <si>
    <r>
      <rPr>
        <sz val="9"/>
        <rFont val="맑은 고딕"/>
        <family val="0"/>
        <charset val="1"/>
      </rPr>
      <t xml:space="preserve">GD2003-02-03 </t>
    </r>
    <r>
      <rPr>
        <sz val="9"/>
        <rFont val="Noto Sans CJK SC"/>
        <family val="2"/>
      </rPr>
      <t xml:space="preserve">선반가공</t>
    </r>
    <r>
      <rPr>
        <sz val="9"/>
        <rFont val="맑은 고딕"/>
        <family val="0"/>
        <charset val="1"/>
      </rPr>
      <t xml:space="preserve">B.pdf</t>
    </r>
  </si>
  <si>
    <r>
      <rPr>
        <sz val="9"/>
        <rFont val="맑은 고딕"/>
        <family val="0"/>
        <charset val="1"/>
      </rPr>
      <t xml:space="preserve">G2003-</t>
    </r>
    <r>
      <rPr>
        <sz val="9"/>
        <rFont val="Noto Sans CJK SC"/>
        <family val="2"/>
      </rPr>
      <t xml:space="preserve">누체필터 견적서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경동글로벌텍</t>
    </r>
    <r>
      <rPr>
        <sz val="9"/>
        <rFont val="맑은 고딕"/>
        <family val="0"/>
        <charset val="1"/>
      </rPr>
      <t xml:space="preserve">-A .pdf</t>
    </r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</si>
  <si>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/GD2003-00 </t>
    </r>
    <r>
      <rPr>
        <sz val="9"/>
        <rFont val="Noto Sans CJK SC"/>
        <family val="2"/>
      </rPr>
      <t xml:space="preserve">웰이엔씨</t>
    </r>
    <r>
      <rPr>
        <sz val="9"/>
        <rFont val="맑은 고딕"/>
        <family val="0"/>
        <charset val="1"/>
      </rPr>
      <t xml:space="preserve">/GD2003-02-</t>
    </r>
    <r>
      <rPr>
        <sz val="9"/>
        <rFont val="Noto Sans CJK SC"/>
        <family val="2"/>
      </rPr>
      <t xml:space="preserve">에니젠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누체필터 </t>
    </r>
    <r>
      <rPr>
        <sz val="9"/>
        <rFont val="맑은 고딕"/>
        <family val="0"/>
        <charset val="1"/>
      </rPr>
      <t xml:space="preserve">100L/</t>
    </r>
    <r>
      <rPr>
        <sz val="9"/>
        <rFont val="Noto Sans CJK SC"/>
        <family val="2"/>
      </rPr>
      <t xml:space="preserve">애니젠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도면및재질성적서</t>
    </r>
  </si>
  <si>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GD2003-02-00-100L-E1.pdf</t>
    </r>
  </si>
  <si>
    <t xml:space="preserve">2020-11-05</t>
  </si>
  <si>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GD2003-02-00-100L-E2.pdf</t>
    </r>
  </si>
  <si>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GD2003-02-00-100L-E3.pdf</t>
    </r>
  </si>
  <si>
    <r>
      <rPr>
        <sz val="9"/>
        <rFont val="맑은 고딕"/>
        <family val="0"/>
        <charset val="1"/>
      </rPr>
      <t xml:space="preserve">SJ1901-01-04 </t>
    </r>
    <r>
      <rPr>
        <sz val="9"/>
        <rFont val="Noto Sans CJK SC"/>
        <family val="2"/>
      </rPr>
      <t xml:space="preserve">콘덴서 도면</t>
    </r>
    <r>
      <rPr>
        <sz val="9"/>
        <rFont val="맑은 고딕"/>
        <family val="0"/>
        <charset val="1"/>
      </rPr>
      <t xml:space="preserve">.pdf</t>
    </r>
  </si>
  <si>
    <r>
      <rPr>
        <sz val="9"/>
        <rFont val="맑은 고딕"/>
        <family val="0"/>
        <charset val="1"/>
      </rPr>
      <t xml:space="preserve">SUS304-350A S20(</t>
    </r>
    <r>
      <rPr>
        <sz val="9"/>
        <rFont val="Noto Sans CJK SC"/>
        <family val="2"/>
      </rPr>
      <t xml:space="preserve">콘덴셔</t>
    </r>
    <r>
      <rPr>
        <sz val="9"/>
        <rFont val="맑은 고딕"/>
        <family val="0"/>
        <charset val="1"/>
      </rPr>
      <t xml:space="preserve">).pdf</t>
    </r>
  </si>
  <si>
    <t xml:space="preserve">611992894 DN300 x 500mm jacketed cylinder-200212.pdf</t>
  </si>
  <si>
    <r>
      <rPr>
        <sz val="9"/>
        <rFont val="맑은 고딕"/>
        <family val="0"/>
        <charset val="1"/>
      </rPr>
      <t xml:space="preserve">GD2003-06-00B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 미확인사항</t>
    </r>
    <r>
      <rPr>
        <sz val="9"/>
        <rFont val="맑은 고딕"/>
        <family val="0"/>
        <charset val="1"/>
      </rPr>
      <t xml:space="preserve">-201222.pdf</t>
    </r>
  </si>
  <si>
    <r>
      <rPr>
        <sz val="9"/>
        <rFont val="맑은 고딕"/>
        <family val="0"/>
        <charset val="1"/>
      </rPr>
      <t xml:space="preserve">KS 10K </t>
    </r>
    <r>
      <rPr>
        <sz val="9"/>
        <rFont val="Noto Sans CJK SC"/>
        <family val="2"/>
      </rPr>
      <t xml:space="preserve">제원</t>
    </r>
    <r>
      <rPr>
        <sz val="9"/>
        <rFont val="맑은 고딕"/>
        <family val="0"/>
        <charset val="1"/>
      </rPr>
      <t xml:space="preserve">.pdf</t>
    </r>
  </si>
  <si>
    <t xml:space="preserve">2020-08-13</t>
  </si>
  <si>
    <r>
      <rPr>
        <sz val="9"/>
        <rFont val="맑은 고딕"/>
        <family val="0"/>
        <charset val="1"/>
      </rPr>
      <t xml:space="preserve">KS 20K FLANGE </t>
    </r>
    <r>
      <rPr>
        <sz val="9"/>
        <rFont val="Noto Sans CJK SC"/>
        <family val="2"/>
      </rPr>
      <t xml:space="preserve">제원</t>
    </r>
    <r>
      <rPr>
        <sz val="9"/>
        <rFont val="맑은 고딕"/>
        <family val="0"/>
        <charset val="1"/>
      </rPr>
      <t xml:space="preserve">.pdf</t>
    </r>
  </si>
  <si>
    <r>
      <rPr>
        <sz val="9"/>
        <rFont val="Noto Sans CJK SC"/>
        <family val="2"/>
      </rPr>
      <t xml:space="preserve">견적서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제이엠프랜지</t>
    </r>
    <r>
      <rPr>
        <sz val="9"/>
        <rFont val="맑은 고딕"/>
        <family val="0"/>
        <charset val="1"/>
      </rPr>
      <t xml:space="preserve">1).pdf</t>
    </r>
  </si>
  <si>
    <r>
      <rPr>
        <sz val="9"/>
        <rFont val="Noto Sans CJK SC"/>
        <family val="2"/>
      </rPr>
      <t xml:space="preserve">경동 추가아이템 견적의건</t>
    </r>
    <r>
      <rPr>
        <sz val="9"/>
        <rFont val="맑은 고딕"/>
        <family val="0"/>
        <charset val="1"/>
      </rPr>
      <t xml:space="preserve">.pdf</t>
    </r>
  </si>
  <si>
    <r>
      <rPr>
        <sz val="9"/>
        <rFont val="Noto Sans CJK SC"/>
        <family val="2"/>
      </rPr>
      <t xml:space="preserve">저장탱크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제작도면</t>
    </r>
    <r>
      <rPr>
        <sz val="9"/>
        <rFont val="맑은 고딕"/>
        <family val="0"/>
        <charset val="1"/>
      </rPr>
      <t xml:space="preserve">.pdf</t>
    </r>
  </si>
  <si>
    <r>
      <rPr>
        <sz val="9"/>
        <rFont val="Noto Sans CJK SC"/>
        <family val="2"/>
      </rPr>
      <t xml:space="preserve">추출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농축라인</t>
    </r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</si>
  <si>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/GD2005-00 </t>
    </r>
    <r>
      <rPr>
        <sz val="9"/>
        <rFont val="Noto Sans CJK SC"/>
        <family val="2"/>
      </rPr>
      <t xml:space="preserve">한모루</t>
    </r>
    <r>
      <rPr>
        <sz val="9"/>
        <rFont val="맑은 고딕"/>
        <family val="0"/>
        <charset val="1"/>
      </rPr>
      <t xml:space="preserve">/GD2005-02 </t>
    </r>
    <r>
      <rPr>
        <sz val="9"/>
        <rFont val="Noto Sans CJK SC"/>
        <family val="2"/>
      </rPr>
      <t xml:space="preserve">추출라인</t>
    </r>
  </si>
  <si>
    <r>
      <rPr>
        <sz val="9"/>
        <rFont val="맑은 고딕"/>
        <family val="0"/>
        <charset val="1"/>
      </rPr>
      <t xml:space="preserve">GD2005-02-</t>
    </r>
    <r>
      <rPr>
        <sz val="9"/>
        <rFont val="Noto Sans CJK SC"/>
        <family val="2"/>
      </rPr>
      <t xml:space="preserve">추출기 견적</t>
    </r>
    <r>
      <rPr>
        <sz val="9"/>
        <rFont val="맑은 고딕"/>
        <family val="0"/>
        <charset val="1"/>
      </rPr>
      <t xml:space="preserve">-200207A.pdf</t>
    </r>
  </si>
  <si>
    <t xml:space="preserve">2020-02-09</t>
  </si>
  <si>
    <r>
      <rPr>
        <sz val="9"/>
        <rFont val="Noto Sans CJK SC"/>
        <family val="2"/>
      </rPr>
      <t xml:space="preserve">추출 농축라인</t>
    </r>
    <r>
      <rPr>
        <sz val="9"/>
        <rFont val="맑은 고딕"/>
        <family val="0"/>
        <charset val="1"/>
      </rPr>
      <t xml:space="preserve">.pdf</t>
    </r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</si>
  <si>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/GD2005-00 </t>
    </r>
    <r>
      <rPr>
        <sz val="9"/>
        <rFont val="Noto Sans CJK SC"/>
        <family val="2"/>
      </rPr>
      <t xml:space="preserve">한모루</t>
    </r>
    <r>
      <rPr>
        <sz val="9"/>
        <rFont val="맑은 고딕"/>
        <family val="0"/>
        <charset val="1"/>
      </rPr>
      <t xml:space="preserve">/GD2005-02 </t>
    </r>
    <r>
      <rPr>
        <sz val="9"/>
        <rFont val="Noto Sans CJK SC"/>
        <family val="2"/>
      </rPr>
      <t xml:space="preserve">추출라인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세진테크</t>
    </r>
  </si>
  <si>
    <t xml:space="preserve">1.pdf</t>
  </si>
  <si>
    <t xml:space="preserve">10.pdf</t>
  </si>
  <si>
    <t xml:space="preserve">11.pdf</t>
  </si>
  <si>
    <t xml:space="preserve">12.pdf</t>
  </si>
  <si>
    <t xml:space="preserve">13.pdf</t>
  </si>
  <si>
    <t xml:space="preserve">14.pdf</t>
  </si>
  <si>
    <t xml:space="preserve">15.pdf</t>
  </si>
  <si>
    <t xml:space="preserve">16-a.pdf</t>
  </si>
  <si>
    <t xml:space="preserve">2020-02-04</t>
  </si>
  <si>
    <t xml:space="preserve">16.pdf</t>
  </si>
  <si>
    <t xml:space="preserve">17.pdf</t>
  </si>
  <si>
    <t xml:space="preserve">18.pdf</t>
  </si>
  <si>
    <t xml:space="preserve">19.pdf</t>
  </si>
  <si>
    <t xml:space="preserve">2.pdf</t>
  </si>
  <si>
    <t xml:space="preserve">3.pdf</t>
  </si>
  <si>
    <t xml:space="preserve">3a.pdf</t>
  </si>
  <si>
    <t xml:space="preserve">4.pdf</t>
  </si>
  <si>
    <t xml:space="preserve">5.pdf</t>
  </si>
  <si>
    <t xml:space="preserve">6.pdf</t>
  </si>
  <si>
    <t xml:space="preserve">7.pdf</t>
  </si>
  <si>
    <t xml:space="preserve">8.pdf</t>
  </si>
  <si>
    <t xml:space="preserve">9.pdf</t>
  </si>
  <si>
    <t xml:space="preserve">GD2005-04-01-01A.pdf</t>
  </si>
  <si>
    <t xml:space="preserve">GD2005-04-02-02-CHAIN COUPLING.pdf</t>
  </si>
  <si>
    <t xml:space="preserve">GD2005-04-02-02-V-BELT PULLEY.pdf</t>
  </si>
  <si>
    <r>
      <rPr>
        <sz val="9"/>
        <rFont val="맑은 고딕"/>
        <family val="0"/>
        <charset val="1"/>
      </rPr>
      <t xml:space="preserve">HI2003022(</t>
    </r>
    <r>
      <rPr>
        <sz val="9"/>
        <rFont val="Noto Sans CJK SC"/>
        <family val="2"/>
      </rPr>
      <t xml:space="preserve">경동글로벌텍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맨홀</t>
    </r>
    <r>
      <rPr>
        <sz val="9"/>
        <rFont val="맑은 고딕"/>
        <family val="0"/>
        <charset val="1"/>
      </rPr>
      <t xml:space="preserve">300).pdf</t>
    </r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</si>
  <si>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/GD2005-00 </t>
    </r>
    <r>
      <rPr>
        <sz val="9"/>
        <rFont val="Noto Sans CJK SC"/>
        <family val="2"/>
      </rPr>
      <t xml:space="preserve">한모루</t>
    </r>
    <r>
      <rPr>
        <sz val="9"/>
        <rFont val="맑은 고딕"/>
        <family val="0"/>
        <charset val="1"/>
      </rPr>
      <t xml:space="preserve">/GD2005-04-00 </t>
    </r>
    <r>
      <rPr>
        <sz val="9"/>
        <rFont val="Noto Sans CJK SC"/>
        <family val="2"/>
      </rPr>
      <t xml:space="preserve">진공리본믹서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진공리본믹서 참고도면</t>
    </r>
  </si>
  <si>
    <t xml:space="preserve">1146_0001.pdf</t>
  </si>
  <si>
    <t xml:space="preserve">1147_0001.pdf</t>
  </si>
  <si>
    <t xml:space="preserve">1148_0001.pdf</t>
  </si>
  <si>
    <t xml:space="preserve">1149_0001.pdf</t>
  </si>
  <si>
    <t xml:space="preserve">1150_0001.pdf</t>
  </si>
  <si>
    <t xml:space="preserve">1155_0001.pdf</t>
  </si>
  <si>
    <t xml:space="preserve">2020-02-03</t>
  </si>
  <si>
    <t xml:space="preserve">1156_0001.pdf</t>
  </si>
  <si>
    <t xml:space="preserve">1157_0001.pdf</t>
  </si>
  <si>
    <t xml:space="preserve">1158_0001.pdf</t>
  </si>
  <si>
    <t xml:space="preserve">1159_0001.pdf</t>
  </si>
  <si>
    <t xml:space="preserve">1160_0001.pdf</t>
  </si>
  <si>
    <r>
      <rPr>
        <sz val="9"/>
        <rFont val="맑은 고딕"/>
        <family val="0"/>
        <charset val="1"/>
      </rPr>
      <t xml:space="preserve">GD2007-01 </t>
    </r>
    <r>
      <rPr>
        <sz val="9"/>
        <rFont val="Noto Sans CJK SC"/>
        <family val="2"/>
      </rPr>
      <t xml:space="preserve">압력용기 </t>
    </r>
    <r>
      <rPr>
        <sz val="9"/>
        <rFont val="맑은 고딕"/>
        <family val="0"/>
        <charset val="1"/>
      </rPr>
      <t xml:space="preserve">70L </t>
    </r>
    <r>
      <rPr>
        <sz val="9"/>
        <rFont val="Noto Sans CJK SC"/>
        <family val="2"/>
      </rPr>
      <t xml:space="preserve">추가작업</t>
    </r>
    <r>
      <rPr>
        <sz val="9"/>
        <rFont val="맑은 고딕"/>
        <family val="0"/>
        <charset val="1"/>
      </rPr>
      <t xml:space="preserve">-210111.pdf</t>
    </r>
  </si>
  <si>
    <t xml:space="preserve">2021-01-20</t>
  </si>
  <si>
    <r>
      <rPr>
        <sz val="9"/>
        <rFont val="맑은 고딕"/>
        <family val="0"/>
        <charset val="1"/>
      </rPr>
      <t xml:space="preserve">GD2007-01 </t>
    </r>
    <r>
      <rPr>
        <sz val="9"/>
        <rFont val="Noto Sans CJK SC"/>
        <family val="2"/>
      </rPr>
      <t xml:space="preserve">압력용기 </t>
    </r>
    <r>
      <rPr>
        <sz val="9"/>
        <rFont val="맑은 고딕"/>
        <family val="0"/>
        <charset val="1"/>
      </rPr>
      <t xml:space="preserve">70L </t>
    </r>
    <r>
      <rPr>
        <sz val="9"/>
        <rFont val="Noto Sans CJK SC"/>
        <family val="2"/>
      </rPr>
      <t xml:space="preserve">추가작업</t>
    </r>
    <r>
      <rPr>
        <sz val="9"/>
        <rFont val="맑은 고딕"/>
        <family val="0"/>
        <charset val="1"/>
      </rPr>
      <t xml:space="preserve">-210125.pdf</t>
    </r>
  </si>
  <si>
    <t xml:space="preserve">2021-01-25</t>
  </si>
  <si>
    <r>
      <rPr>
        <sz val="9"/>
        <rFont val="맑은 고딕"/>
        <family val="0"/>
        <charset val="1"/>
      </rPr>
      <t xml:space="preserve">GD2007-01 </t>
    </r>
    <r>
      <rPr>
        <sz val="9"/>
        <rFont val="Noto Sans CJK SC"/>
        <family val="2"/>
      </rPr>
      <t xml:space="preserve">압력용기 </t>
    </r>
    <r>
      <rPr>
        <sz val="9"/>
        <rFont val="맑은 고딕"/>
        <family val="0"/>
        <charset val="1"/>
      </rPr>
      <t xml:space="preserve">70L </t>
    </r>
    <r>
      <rPr>
        <sz val="9"/>
        <rFont val="Noto Sans CJK SC"/>
        <family val="2"/>
      </rPr>
      <t xml:space="preserve">추가작업</t>
    </r>
    <r>
      <rPr>
        <sz val="9"/>
        <rFont val="맑은 고딕"/>
        <family val="0"/>
        <charset val="1"/>
      </rPr>
      <t xml:space="preserve">.pdf</t>
    </r>
  </si>
  <si>
    <t xml:space="preserve">2020-10-20</t>
  </si>
  <si>
    <r>
      <rPr>
        <sz val="9"/>
        <rFont val="맑은 고딕"/>
        <family val="0"/>
        <charset val="1"/>
      </rPr>
      <t xml:space="preserve">GD2007-01 </t>
    </r>
    <r>
      <rPr>
        <sz val="9"/>
        <rFont val="Noto Sans CJK SC"/>
        <family val="2"/>
      </rPr>
      <t xml:space="preserve">압력용기 </t>
    </r>
    <r>
      <rPr>
        <sz val="9"/>
        <rFont val="맑은 고딕"/>
        <family val="0"/>
        <charset val="1"/>
      </rPr>
      <t xml:space="preserve">70L-</t>
    </r>
    <r>
      <rPr>
        <sz val="9"/>
        <rFont val="Noto Sans CJK SC"/>
        <family val="2"/>
      </rPr>
      <t xml:space="preserve">추가</t>
    </r>
    <r>
      <rPr>
        <sz val="9"/>
        <rFont val="맑은 고딕"/>
        <family val="0"/>
        <charset val="1"/>
      </rPr>
      <t xml:space="preserve">.pdf</t>
    </r>
  </si>
  <si>
    <r>
      <rPr>
        <sz val="9"/>
        <rFont val="맑은 고딕"/>
        <family val="0"/>
        <charset val="1"/>
      </rPr>
      <t xml:space="preserve">GD2007-01-00A </t>
    </r>
    <r>
      <rPr>
        <sz val="9"/>
        <rFont val="Noto Sans CJK SC"/>
        <family val="2"/>
      </rPr>
      <t xml:space="preserve">압력용기 </t>
    </r>
    <r>
      <rPr>
        <sz val="9"/>
        <rFont val="맑은 고딕"/>
        <family val="0"/>
        <charset val="1"/>
      </rPr>
      <t xml:space="preserve">70L.pdf</t>
    </r>
  </si>
  <si>
    <t xml:space="preserve">2020-05-26</t>
  </si>
  <si>
    <r>
      <rPr>
        <sz val="9"/>
        <rFont val="맑은 고딕"/>
        <family val="0"/>
        <charset val="1"/>
      </rPr>
      <t xml:space="preserve">GD2007-01-00B </t>
    </r>
    <r>
      <rPr>
        <sz val="9"/>
        <rFont val="Noto Sans CJK SC"/>
        <family val="2"/>
      </rPr>
      <t xml:space="preserve">압력용기 </t>
    </r>
    <r>
      <rPr>
        <sz val="9"/>
        <rFont val="맑은 고딕"/>
        <family val="0"/>
        <charset val="1"/>
      </rPr>
      <t xml:space="preserve">70L.pdf</t>
    </r>
  </si>
  <si>
    <r>
      <rPr>
        <sz val="9"/>
        <rFont val="맑은 고딕"/>
        <family val="0"/>
        <charset val="1"/>
      </rPr>
      <t xml:space="preserve">SJ1903-04-</t>
    </r>
    <r>
      <rPr>
        <sz val="9"/>
        <rFont val="Noto Sans CJK SC"/>
        <family val="2"/>
      </rPr>
      <t xml:space="preserve">압력용기 </t>
    </r>
    <r>
      <rPr>
        <sz val="9"/>
        <rFont val="맑은 고딕"/>
        <family val="0"/>
        <charset val="1"/>
      </rPr>
      <t xml:space="preserve">CAN </t>
    </r>
    <r>
      <rPr>
        <sz val="9"/>
        <rFont val="Noto Sans CJK SC"/>
        <family val="2"/>
      </rPr>
      <t xml:space="preserve">제작</t>
    </r>
    <r>
      <rPr>
        <sz val="9"/>
        <rFont val="맑은 고딕"/>
        <family val="0"/>
        <charset val="1"/>
      </rPr>
      <t xml:space="preserve">.pdf</t>
    </r>
  </si>
  <si>
    <t xml:space="preserve">2019-06-04</t>
  </si>
  <si>
    <r>
      <rPr>
        <sz val="9"/>
        <rFont val="맑은 고딕"/>
        <family val="0"/>
        <charset val="1"/>
      </rPr>
      <t xml:space="preserve">SJ1903-07-</t>
    </r>
    <r>
      <rPr>
        <sz val="9"/>
        <rFont val="Noto Sans CJK SC"/>
        <family val="2"/>
      </rPr>
      <t xml:space="preserve">이송용기 캔 제작</t>
    </r>
    <r>
      <rPr>
        <sz val="9"/>
        <rFont val="맑은 고딕"/>
        <family val="0"/>
        <charset val="1"/>
      </rPr>
      <t xml:space="preserve">200107.pdf</t>
    </r>
  </si>
  <si>
    <t xml:space="preserve">2020-01-07</t>
  </si>
  <si>
    <r>
      <rPr>
        <sz val="9"/>
        <rFont val="맑은 고딕"/>
        <family val="0"/>
        <charset val="1"/>
      </rPr>
      <t xml:space="preserve">SJ1903-07-</t>
    </r>
    <r>
      <rPr>
        <sz val="9"/>
        <rFont val="Noto Sans CJK SC"/>
        <family val="2"/>
      </rPr>
      <t xml:space="preserve">이송용기 캔 제작</t>
    </r>
    <r>
      <rPr>
        <sz val="9"/>
        <rFont val="맑은 고딕"/>
        <family val="0"/>
        <charset val="1"/>
      </rPr>
      <t xml:space="preserve">200110.pdf</t>
    </r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</si>
  <si>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 제작 견적 </t>
    </r>
    <r>
      <rPr>
        <sz val="9"/>
        <rFont val="맑은 고딕"/>
        <family val="0"/>
        <charset val="1"/>
      </rPr>
      <t xml:space="preserve">181204.pdf</t>
    </r>
  </si>
  <si>
    <t xml:space="preserve">2018-12-04</t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</si>
  <si>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 제작 견적</t>
    </r>
    <r>
      <rPr>
        <sz val="9"/>
        <rFont val="맑은 고딕"/>
        <family val="0"/>
        <charset val="1"/>
      </rPr>
      <t xml:space="preserve">.pdf</t>
    </r>
  </si>
  <si>
    <t xml:space="preserve">2018-09-12</t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</si>
  <si>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 제작 견적도면</t>
    </r>
    <r>
      <rPr>
        <sz val="9"/>
        <rFont val="맑은 고딕"/>
        <family val="0"/>
        <charset val="1"/>
      </rPr>
      <t xml:space="preserve">.pdf</t>
    </r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</si>
  <si>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A.pdf</t>
    </r>
  </si>
  <si>
    <t xml:space="preserve">2018-11-26</t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</si>
  <si>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B-201027A.pdf</t>
    </r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</si>
  <si>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/GD2007-00 </t>
    </r>
    <r>
      <rPr>
        <sz val="9"/>
        <rFont val="Noto Sans CJK SC"/>
        <family val="2"/>
      </rPr>
      <t xml:space="preserve">동광제약</t>
    </r>
    <r>
      <rPr>
        <sz val="9"/>
        <rFont val="맑은 고딕"/>
        <family val="0"/>
        <charset val="1"/>
      </rPr>
      <t xml:space="preserve">/GD2007-01-00-</t>
    </r>
    <r>
      <rPr>
        <sz val="9"/>
        <rFont val="Noto Sans CJK SC"/>
        <family val="2"/>
      </rPr>
      <t xml:space="preserve">압력텡크</t>
    </r>
    <r>
      <rPr>
        <sz val="9"/>
        <rFont val="맑은 고딕"/>
        <family val="0"/>
        <charset val="1"/>
      </rPr>
      <t xml:space="preserve">(70L) </t>
    </r>
    <r>
      <rPr>
        <sz val="9"/>
        <rFont val="Noto Sans CJK SC"/>
        <family val="2"/>
      </rPr>
      <t xml:space="preserve">추가작업</t>
    </r>
    <r>
      <rPr>
        <sz val="9"/>
        <rFont val="맑은 고딕"/>
        <family val="0"/>
        <charset val="1"/>
      </rPr>
      <t xml:space="preserve">/SJ1903-01 </t>
    </r>
    <r>
      <rPr>
        <sz val="9"/>
        <rFont val="Noto Sans CJK SC"/>
        <family val="2"/>
      </rPr>
      <t xml:space="preserve">동광제약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제이엔에스 </t>
    </r>
    <r>
      <rPr>
        <sz val="9"/>
        <rFont val="맑은 고딕"/>
        <family val="0"/>
        <charset val="1"/>
      </rPr>
      <t xml:space="preserve">M145x1, Clamp type-190114/CERTIFICATION</t>
    </r>
  </si>
  <si>
    <r>
      <rPr>
        <sz val="9"/>
        <rFont val="맑은 고딕"/>
        <family val="0"/>
        <charset val="1"/>
      </rPr>
      <t xml:space="preserve">ep</t>
    </r>
    <r>
      <rPr>
        <sz val="9"/>
        <rFont val="Noto Sans CJK SC"/>
        <family val="2"/>
      </rPr>
      <t xml:space="preserve">성적서</t>
    </r>
    <r>
      <rPr>
        <sz val="9"/>
        <rFont val="맑은 고딕"/>
        <family val="0"/>
        <charset val="1"/>
      </rPr>
      <t xml:space="preserve">-M145-Clamp(</t>
    </r>
    <r>
      <rPr>
        <sz val="9"/>
        <rFont val="Noto Sans CJK SC"/>
        <family val="2"/>
      </rPr>
      <t xml:space="preserve">제이엔에스</t>
    </r>
    <r>
      <rPr>
        <sz val="9"/>
        <rFont val="맑은 고딕"/>
        <family val="0"/>
        <charset val="1"/>
      </rPr>
      <t xml:space="preserve">)_190122.pdf</t>
    </r>
  </si>
  <si>
    <t xml:space="preserve">2019-01-25</t>
  </si>
  <si>
    <r>
      <rPr>
        <sz val="9"/>
        <rFont val="Noto Sans CJK SC"/>
        <family val="2"/>
      </rPr>
      <t xml:space="preserve">제이엔에스</t>
    </r>
    <r>
      <rPr>
        <sz val="9"/>
        <rFont val="맑은 고딕"/>
        <family val="0"/>
        <charset val="1"/>
      </rPr>
      <t xml:space="preserve">M145 Clamp type x1-190122.pdf</t>
    </r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</si>
  <si>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/GD2007-00 </t>
    </r>
    <r>
      <rPr>
        <sz val="9"/>
        <rFont val="Noto Sans CJK SC"/>
        <family val="2"/>
      </rPr>
      <t xml:space="preserve">동광제약</t>
    </r>
    <r>
      <rPr>
        <sz val="9"/>
        <rFont val="맑은 고딕"/>
        <family val="0"/>
        <charset val="1"/>
      </rPr>
      <t xml:space="preserve">/GD2007-01-00-</t>
    </r>
    <r>
      <rPr>
        <sz val="9"/>
        <rFont val="Noto Sans CJK SC"/>
        <family val="2"/>
      </rPr>
      <t xml:space="preserve">압력텡크</t>
    </r>
    <r>
      <rPr>
        <sz val="9"/>
        <rFont val="맑은 고딕"/>
        <family val="0"/>
        <charset val="1"/>
      </rPr>
      <t xml:space="preserve">(70L) </t>
    </r>
    <r>
      <rPr>
        <sz val="9"/>
        <rFont val="Noto Sans CJK SC"/>
        <family val="2"/>
      </rPr>
      <t xml:space="preserve">추가작업</t>
    </r>
    <r>
      <rPr>
        <sz val="9"/>
        <rFont val="맑은 고딕"/>
        <family val="0"/>
        <charset val="1"/>
      </rPr>
      <t xml:space="preserve">/SJ1903-01 </t>
    </r>
    <r>
      <rPr>
        <sz val="9"/>
        <rFont val="Noto Sans CJK SC"/>
        <family val="2"/>
      </rPr>
      <t xml:space="preserve">동광제약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제이엔에스 </t>
    </r>
    <r>
      <rPr>
        <sz val="9"/>
        <rFont val="맑은 고딕"/>
        <family val="0"/>
        <charset val="1"/>
      </rPr>
      <t xml:space="preserve">M145x1, Clamp type-190114/</t>
    </r>
    <r>
      <rPr>
        <sz val="9"/>
        <rFont val="Noto Sans CJK SC"/>
        <family val="2"/>
      </rPr>
      <t xml:space="preserve">도면</t>
    </r>
  </si>
  <si>
    <t xml:space="preserve">M-145 BEARING -190120.pdf</t>
  </si>
  <si>
    <t xml:space="preserve">M-145 Drive Unit 0.18kw, 5-1,Clamp Single Type-190120.pdf</t>
  </si>
  <si>
    <t xml:space="preserve">M-145 IMPELLER -190120.pdf</t>
  </si>
  <si>
    <t xml:space="preserve">M-145 WELDING PLATE -190120.pdf</t>
  </si>
  <si>
    <t xml:space="preserve">NF2-1610-SPIN-PACK-05.pdf</t>
  </si>
  <si>
    <r>
      <rPr>
        <sz val="9"/>
        <rFont val="맑은 고딕"/>
        <family val="0"/>
        <charset val="1"/>
      </rPr>
      <t xml:space="preserve">GD160803-</t>
    </r>
    <r>
      <rPr>
        <sz val="9"/>
        <rFont val="Noto Sans CJK SC"/>
        <family val="2"/>
      </rPr>
      <t xml:space="preserve">누체필터 회의록 </t>
    </r>
    <r>
      <rPr>
        <sz val="9"/>
        <rFont val="맑은 고딕"/>
        <family val="0"/>
        <charset val="1"/>
      </rPr>
      <t xml:space="preserve">161018 (</t>
    </r>
    <r>
      <rPr>
        <sz val="9"/>
        <rFont val="Noto Sans CJK SC"/>
        <family val="2"/>
      </rPr>
      <t xml:space="preserve">자동 저장됨</t>
    </r>
    <r>
      <rPr>
        <sz val="9"/>
        <rFont val="맑은 고딕"/>
        <family val="0"/>
        <charset val="1"/>
      </rPr>
      <t xml:space="preserve">).xls</t>
    </r>
  </si>
  <si>
    <t xml:space="preserve">.xls</t>
  </si>
  <si>
    <t xml:space="preserve">2019-08-08</t>
  </si>
  <si>
    <r>
      <rPr>
        <sz val="9"/>
        <rFont val="맑은 고딕"/>
        <family val="0"/>
        <charset val="1"/>
      </rPr>
      <t xml:space="preserve">GD160803-</t>
    </r>
    <r>
      <rPr>
        <sz val="9"/>
        <rFont val="Noto Sans CJK SC"/>
        <family val="2"/>
      </rPr>
      <t xml:space="preserve">누체필터 회의록 </t>
    </r>
    <r>
      <rPr>
        <sz val="9"/>
        <rFont val="맑은 고딕"/>
        <family val="0"/>
        <charset val="1"/>
      </rPr>
      <t xml:space="preserve">161018.xls</t>
    </r>
  </si>
  <si>
    <t xml:space="preserve">atmp0707</t>
  </si>
  <si>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없음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</si>
  <si>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캡슐오링견적</t>
    </r>
    <r>
      <rPr>
        <sz val="9"/>
        <rFont val="맑은 고딕"/>
        <family val="0"/>
        <charset val="1"/>
      </rPr>
      <t xml:space="preserve">-20130725(</t>
    </r>
    <r>
      <rPr>
        <sz val="9"/>
        <rFont val="Noto Sans CJK SC"/>
        <family val="2"/>
      </rPr>
      <t xml:space="preserve">리트산업</t>
    </r>
    <r>
      <rPr>
        <sz val="9"/>
        <rFont val="맑은 고딕"/>
        <family val="0"/>
        <charset val="1"/>
      </rPr>
      <t xml:space="preserve">) .docx</t>
    </r>
  </si>
  <si>
    <t xml:space="preserve">.docx</t>
  </si>
  <si>
    <t xml:space="preserve">2017-01-02</t>
  </si>
  <si>
    <r>
      <rPr>
        <sz val="9"/>
        <rFont val="맑은 고딕"/>
        <family val="0"/>
        <charset val="1"/>
      </rPr>
      <t xml:space="preserve">GD1905-01-00 FLANGE </t>
    </r>
    <r>
      <rPr>
        <sz val="9"/>
        <rFont val="Noto Sans CJK SC"/>
        <family val="2"/>
      </rPr>
      <t xml:space="preserve">규격</t>
    </r>
    <r>
      <rPr>
        <sz val="9"/>
        <rFont val="맑은 고딕"/>
        <family val="0"/>
        <charset val="1"/>
      </rPr>
      <t xml:space="preserve">.xlsx</t>
    </r>
  </si>
  <si>
    <t xml:space="preserve">.xlsx</t>
  </si>
  <si>
    <t xml:space="preserve">2020-01-17</t>
  </si>
  <si>
    <r>
      <rPr>
        <sz val="9"/>
        <rFont val="Noto Sans CJK SC"/>
        <family val="2"/>
      </rPr>
      <t xml:space="preserve">헝가리 두산</t>
    </r>
    <r>
      <rPr>
        <sz val="9"/>
        <rFont val="맑은 고딕"/>
        <family val="0"/>
        <charset val="1"/>
      </rPr>
      <t xml:space="preserve">PJT </t>
    </r>
    <r>
      <rPr>
        <sz val="9"/>
        <rFont val="Noto Sans CJK SC"/>
        <family val="2"/>
      </rPr>
      <t xml:space="preserve">관련 탱크제작 상세내역</t>
    </r>
    <r>
      <rPr>
        <sz val="9"/>
        <rFont val="맑은 고딕"/>
        <family val="0"/>
        <charset val="1"/>
      </rPr>
      <t xml:space="preserve">.docx</t>
    </r>
  </si>
  <si>
    <t xml:space="preserve">2019-12-17</t>
  </si>
  <si>
    <t xml:space="preserve">Vessel_Technical Data+BOM_.xlsx</t>
  </si>
  <si>
    <r>
      <rPr>
        <sz val="9"/>
        <rFont val="Noto Sans CJK SC"/>
        <family val="2"/>
      </rPr>
      <t xml:space="preserve">복사본 헝가리 두산</t>
    </r>
    <r>
      <rPr>
        <sz val="9"/>
        <rFont val="맑은 고딕"/>
        <family val="0"/>
        <charset val="1"/>
      </rPr>
      <t xml:space="preserve">PJT_</t>
    </r>
    <r>
      <rPr>
        <sz val="9"/>
        <rFont val="Noto Sans CJK SC"/>
        <family val="2"/>
      </rPr>
      <t xml:space="preserve">이중자켓탱크</t>
    </r>
    <r>
      <rPr>
        <sz val="9"/>
        <rFont val="맑은 고딕"/>
        <family val="0"/>
        <charset val="1"/>
      </rPr>
      <t xml:space="preserve">_WELDER LIST.xlsx</t>
    </r>
  </si>
  <si>
    <r>
      <rPr>
        <sz val="9"/>
        <rFont val="Noto Sans CJK SC"/>
        <family val="2"/>
      </rPr>
      <t xml:space="preserve">탱크제작공정표</t>
    </r>
    <r>
      <rPr>
        <sz val="9"/>
        <rFont val="맑은 고딕"/>
        <family val="0"/>
        <charset val="1"/>
      </rPr>
      <t xml:space="preserve">_20191217.xlsx</t>
    </r>
  </si>
  <si>
    <r>
      <rPr>
        <sz val="9"/>
        <rFont val="맑은 고딕"/>
        <family val="0"/>
        <charset val="1"/>
      </rPr>
      <t xml:space="preserve">GD2005-02-</t>
    </r>
    <r>
      <rPr>
        <sz val="9"/>
        <rFont val="Noto Sans CJK SC"/>
        <family val="2"/>
      </rPr>
      <t xml:space="preserve">추출기 견적</t>
    </r>
    <r>
      <rPr>
        <sz val="9"/>
        <rFont val="맑은 고딕"/>
        <family val="0"/>
        <charset val="1"/>
      </rPr>
      <t xml:space="preserve">-200207.xls</t>
    </r>
  </si>
  <si>
    <t xml:space="preserve">2020-02-07</t>
  </si>
  <si>
    <r>
      <rPr>
        <sz val="9"/>
        <rFont val="맑은 고딕"/>
        <family val="0"/>
        <charset val="1"/>
      </rPr>
      <t xml:space="preserve">GD2005-02-</t>
    </r>
    <r>
      <rPr>
        <sz val="9"/>
        <rFont val="Noto Sans CJK SC"/>
        <family val="2"/>
      </rPr>
      <t xml:space="preserve">추출기 견적</t>
    </r>
    <r>
      <rPr>
        <sz val="9"/>
        <rFont val="맑은 고딕"/>
        <family val="0"/>
        <charset val="1"/>
      </rPr>
      <t xml:space="preserve">-200207A.xls</t>
    </r>
  </si>
  <si>
    <t xml:space="preserve">콘덴서</t>
  </si>
  <si>
    <r>
      <rPr>
        <sz val="9"/>
        <rFont val="맑은 고딕"/>
        <family val="0"/>
        <charset val="1"/>
      </rPr>
      <t xml:space="preserve">SJ1800-08-</t>
    </r>
    <r>
      <rPr>
        <sz val="9"/>
        <rFont val="Noto Sans CJK SC"/>
        <family val="2"/>
      </rPr>
      <t xml:space="preserve">코오롱 콘덴서 제작 </t>
    </r>
    <r>
      <rPr>
        <sz val="9"/>
        <rFont val="맑은 고딕"/>
        <family val="0"/>
        <charset val="1"/>
      </rPr>
      <t xml:space="preserve">10M.xls</t>
    </r>
  </si>
  <si>
    <t xml:space="preserve">2020-02-10</t>
  </si>
  <si>
    <r>
      <rPr>
        <sz val="9"/>
        <rFont val="맑은 고딕"/>
        <family val="0"/>
        <charset val="1"/>
      </rPr>
      <t xml:space="preserve">SJ1900-01-</t>
    </r>
    <r>
      <rPr>
        <sz val="9"/>
        <rFont val="Noto Sans CJK SC"/>
        <family val="2"/>
      </rPr>
      <t xml:space="preserve">추출및 농축라인 제작</t>
    </r>
    <r>
      <rPr>
        <sz val="9"/>
        <rFont val="맑은 고딕"/>
        <family val="0"/>
        <charset val="1"/>
      </rPr>
      <t xml:space="preserve">.xls</t>
    </r>
  </si>
  <si>
    <r>
      <rPr>
        <sz val="9"/>
        <rFont val="Noto Sans CJK SC"/>
        <family val="2"/>
      </rPr>
      <t xml:space="preserve">리시버</t>
    </r>
    <r>
      <rPr>
        <sz val="9"/>
        <rFont val="맑은 고딕"/>
        <family val="0"/>
        <charset val="1"/>
      </rPr>
      <t xml:space="preserve">&amp;</t>
    </r>
    <r>
      <rPr>
        <sz val="9"/>
        <rFont val="Noto Sans CJK SC"/>
        <family val="2"/>
      </rPr>
      <t xml:space="preserve">콘덴샤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현대 타견적</t>
    </r>
    <r>
      <rPr>
        <sz val="9"/>
        <rFont val="맑은 고딕"/>
        <family val="0"/>
        <charset val="1"/>
      </rPr>
      <t xml:space="preserve">).xls</t>
    </r>
  </si>
  <si>
    <t xml:space="preserve">VD0EQ01A-DA1608.jpg</t>
  </si>
  <si>
    <t xml:space="preserve">.jpg</t>
  </si>
  <si>
    <r>
      <rPr>
        <sz val="9"/>
        <rFont val="Noto Sans CJK SC"/>
        <family val="2"/>
      </rPr>
      <t xml:space="preserve">진공건조기 계약서</t>
    </r>
    <r>
      <rPr>
        <sz val="9"/>
        <rFont val="맑은 고딕"/>
        <family val="0"/>
        <charset val="1"/>
      </rPr>
      <t xml:space="preserve">.tif</t>
    </r>
  </si>
  <si>
    <t xml:space="preserve">.tif</t>
  </si>
  <si>
    <r>
      <rPr>
        <sz val="9"/>
        <rFont val="Noto Sans CJK SC"/>
        <family val="2"/>
      </rPr>
      <t xml:space="preserve">진공건조기 계약서</t>
    </r>
    <r>
      <rPr>
        <sz val="9"/>
        <rFont val="맑은 고딕"/>
        <family val="0"/>
        <charset val="1"/>
      </rPr>
      <t xml:space="preserve">1.jpg</t>
    </r>
  </si>
  <si>
    <r>
      <rPr>
        <sz val="9"/>
        <rFont val="Noto Sans CJK SC"/>
        <family val="2"/>
      </rPr>
      <t xml:space="preserve">진공건조기 계약서</t>
    </r>
    <r>
      <rPr>
        <sz val="9"/>
        <rFont val="맑은 고딕"/>
        <family val="0"/>
        <charset val="1"/>
      </rPr>
      <t xml:space="preserve">2.jpg</t>
    </r>
  </si>
  <si>
    <r>
      <rPr>
        <sz val="9"/>
        <rFont val="Noto Sans CJK SC"/>
        <family val="2"/>
      </rPr>
      <t xml:space="preserve">진공건조기 계약서</t>
    </r>
    <r>
      <rPr>
        <sz val="9"/>
        <rFont val="맑은 고딕"/>
        <family val="0"/>
        <charset val="1"/>
      </rPr>
      <t xml:space="preserve">3.jpg</t>
    </r>
  </si>
  <si>
    <r>
      <rPr>
        <sz val="9"/>
        <rFont val="Noto Sans CJK SC"/>
        <family val="2"/>
      </rPr>
      <t xml:space="preserve">진공건조기 계약서</t>
    </r>
    <r>
      <rPr>
        <sz val="9"/>
        <rFont val="맑은 고딕"/>
        <family val="0"/>
        <charset val="1"/>
      </rPr>
      <t xml:space="preserve">4.jpg</t>
    </r>
  </si>
  <si>
    <r>
      <rPr>
        <sz val="9"/>
        <rFont val="Noto Sans CJK SC"/>
        <family val="2"/>
      </rPr>
      <t xml:space="preserve">진공건조기 계약서</t>
    </r>
    <r>
      <rPr>
        <sz val="9"/>
        <rFont val="맑은 고딕"/>
        <family val="0"/>
        <charset val="1"/>
      </rPr>
      <t xml:space="preserve">5.jpg</t>
    </r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</si>
  <si>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/GD160801-</t>
    </r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문서관련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제출자료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온도센서 검교정 성적서</t>
    </r>
  </si>
  <si>
    <r>
      <rPr>
        <sz val="9"/>
        <rFont val="Noto Sans CJK SC"/>
        <family val="2"/>
      </rPr>
      <t xml:space="preserve">연성압력계 교정결과</t>
    </r>
    <r>
      <rPr>
        <sz val="9"/>
        <rFont val="맑은 고딕"/>
        <family val="0"/>
        <charset val="1"/>
      </rPr>
      <t xml:space="preserve">.jpg</t>
    </r>
  </si>
  <si>
    <r>
      <rPr>
        <sz val="9"/>
        <rFont val="Noto Sans CJK SC"/>
        <family val="2"/>
      </rPr>
      <t xml:space="preserve">연성압력계 교정성적서</t>
    </r>
    <r>
      <rPr>
        <sz val="9"/>
        <rFont val="맑은 고딕"/>
        <family val="0"/>
        <charset val="1"/>
      </rPr>
      <t xml:space="preserve">.jpg</t>
    </r>
  </si>
  <si>
    <r>
      <rPr>
        <sz val="9"/>
        <rFont val="Noto Sans CJK SC"/>
        <family val="2"/>
      </rPr>
      <t xml:space="preserve">온도센서 교정성적서 </t>
    </r>
    <r>
      <rPr>
        <sz val="9"/>
        <rFont val="맑은 고딕"/>
        <family val="0"/>
        <charset val="1"/>
      </rPr>
      <t xml:space="preserve">(1).jpg</t>
    </r>
  </si>
  <si>
    <r>
      <rPr>
        <sz val="9"/>
        <rFont val="Noto Sans CJK SC"/>
        <family val="2"/>
      </rPr>
      <t xml:space="preserve">온도센서 교정성적서 </t>
    </r>
    <r>
      <rPr>
        <sz val="9"/>
        <rFont val="맑은 고딕"/>
        <family val="0"/>
        <charset val="1"/>
      </rPr>
      <t xml:space="preserve">(2).jpg</t>
    </r>
  </si>
  <si>
    <r>
      <rPr>
        <sz val="9"/>
        <rFont val="Noto Sans CJK SC"/>
        <family val="2"/>
      </rPr>
      <t xml:space="preserve">온도센서 교정성적서 </t>
    </r>
    <r>
      <rPr>
        <sz val="9"/>
        <rFont val="맑은 고딕"/>
        <family val="0"/>
        <charset val="1"/>
      </rPr>
      <t xml:space="preserve">(3).jpg</t>
    </r>
  </si>
  <si>
    <r>
      <rPr>
        <sz val="9"/>
        <rFont val="Noto Sans CJK SC"/>
        <family val="2"/>
      </rPr>
      <t xml:space="preserve">온도센서 교정성적서 </t>
    </r>
    <r>
      <rPr>
        <sz val="9"/>
        <rFont val="맑은 고딕"/>
        <family val="0"/>
        <charset val="1"/>
      </rPr>
      <t xml:space="preserve">(4).jpg</t>
    </r>
  </si>
  <si>
    <r>
      <rPr>
        <sz val="9"/>
        <rFont val="Noto Sans CJK SC"/>
        <family val="2"/>
      </rPr>
      <t xml:space="preserve">온도센서 교정성적서 </t>
    </r>
    <r>
      <rPr>
        <sz val="9"/>
        <rFont val="맑은 고딕"/>
        <family val="0"/>
        <charset val="1"/>
      </rPr>
      <t xml:space="preserve">(5).jpg</t>
    </r>
  </si>
  <si>
    <r>
      <rPr>
        <sz val="9"/>
        <rFont val="Noto Sans CJK SC"/>
        <family val="2"/>
      </rPr>
      <t xml:space="preserve">온도센서 교정성적서 </t>
    </r>
    <r>
      <rPr>
        <sz val="9"/>
        <rFont val="맑은 고딕"/>
        <family val="0"/>
        <charset val="1"/>
      </rPr>
      <t xml:space="preserve">(6).jpg</t>
    </r>
  </si>
  <si>
    <t xml:space="preserve">20160922_091812.jpg</t>
  </si>
  <si>
    <t xml:space="preserve">20160922_091823.jpg</t>
  </si>
  <si>
    <t xml:space="preserve">20160922_091830.jpg</t>
  </si>
  <si>
    <t xml:space="preserve">20160922_091836.jpg</t>
  </si>
  <si>
    <t xml:space="preserve">20160922_091842.jpg</t>
  </si>
  <si>
    <t xml:space="preserve">20160922_091849.jpg</t>
  </si>
  <si>
    <t xml:space="preserve">20160922_091915.jpg</t>
  </si>
  <si>
    <t xml:space="preserve">20160926_094626.jpg</t>
  </si>
  <si>
    <t xml:space="preserve">20160926_094633.jpg</t>
  </si>
  <si>
    <t xml:space="preserve">20160927_145801.jpg</t>
  </si>
  <si>
    <t xml:space="preserve">20160927_145846.jpg</t>
  </si>
  <si>
    <t xml:space="preserve">20160927_145853.jpg</t>
  </si>
  <si>
    <t xml:space="preserve">20160927_145906.jpg</t>
  </si>
  <si>
    <t xml:space="preserve">20160927_150114.jpg</t>
  </si>
  <si>
    <t xml:space="preserve">20160927_150200.jpg</t>
  </si>
  <si>
    <t xml:space="preserve">20160927_150206.jpg</t>
  </si>
  <si>
    <t xml:space="preserve">20160927_150211.jpg</t>
  </si>
  <si>
    <t xml:space="preserve">20160927_150221.jpg</t>
  </si>
  <si>
    <t xml:space="preserve">20160927_150348.jpg</t>
  </si>
  <si>
    <t xml:space="preserve">20160927_150400.jpg</t>
  </si>
  <si>
    <t xml:space="preserve">20160928_133259.jpg</t>
  </si>
  <si>
    <t xml:space="preserve">20160928_133323.jpg</t>
  </si>
  <si>
    <t xml:space="preserve">20160928_133325.jpg</t>
  </si>
  <si>
    <t xml:space="preserve">20160928_133339.jpg</t>
  </si>
  <si>
    <t xml:space="preserve">20160928_133344.jpg</t>
  </si>
  <si>
    <t xml:space="preserve">20160928_133350.jpg</t>
  </si>
  <si>
    <t xml:space="preserve">20160928_133358.jpg</t>
  </si>
  <si>
    <t xml:space="preserve">20160928_133406.jpg</t>
  </si>
  <si>
    <t xml:space="preserve">20160928_133415.jpg</t>
  </si>
  <si>
    <t xml:space="preserve">20160929_215750.jpg</t>
  </si>
  <si>
    <t xml:space="preserve">2016-09-29</t>
  </si>
  <si>
    <t xml:space="preserve">20160929_215806.jpg</t>
  </si>
  <si>
    <t xml:space="preserve">20160929_220459.jpg</t>
  </si>
  <si>
    <t xml:space="preserve">20160929_220759.jpg</t>
  </si>
  <si>
    <t xml:space="preserve">20160929_220932.jpg</t>
  </si>
  <si>
    <t xml:space="preserve">20160929_220935.jpg</t>
  </si>
  <si>
    <t xml:space="preserve">20160929_220942.jpg</t>
  </si>
  <si>
    <t xml:space="preserve">20160930_131443.jpg</t>
  </si>
  <si>
    <t xml:space="preserve">2016-09-30</t>
  </si>
  <si>
    <t xml:space="preserve">20160930_131449.jpg</t>
  </si>
  <si>
    <t xml:space="preserve">20160930_131451.jpg</t>
  </si>
  <si>
    <t xml:space="preserve">20160930_131517.jpg</t>
  </si>
  <si>
    <t xml:space="preserve">20160930_131526.jpg</t>
  </si>
  <si>
    <t xml:space="preserve">20160930_131548.jpg</t>
  </si>
  <si>
    <t xml:space="preserve">20160930_131604.jpg</t>
  </si>
  <si>
    <t xml:space="preserve">20160930_131610.jpg</t>
  </si>
  <si>
    <t xml:space="preserve">20160930_131621.jpg</t>
  </si>
  <si>
    <t xml:space="preserve">20160930_162325.jpg</t>
  </si>
  <si>
    <t xml:space="preserve">20160930_164006.jpg</t>
  </si>
  <si>
    <t xml:space="preserve">20160930_164016.jpg</t>
  </si>
  <si>
    <t xml:space="preserve">20160930_164543.jpg</t>
  </si>
  <si>
    <t xml:space="preserve">20161004_100557.jpg</t>
  </si>
  <si>
    <t xml:space="preserve">2016-10-04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</si>
  <si>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/GD160801-</t>
    </r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진공건조기 참고용 도면</t>
    </r>
    <r>
      <rPr>
        <sz val="9"/>
        <rFont val="맑은 고딕"/>
        <family val="0"/>
        <charset val="1"/>
      </rPr>
      <t xml:space="preserve">/0.5M3/</t>
    </r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0.5M3</t>
    </r>
    <r>
      <rPr>
        <sz val="9"/>
        <rFont val="Noto Sans CJK SC"/>
        <family val="2"/>
      </rPr>
      <t xml:space="preserve">사진</t>
    </r>
  </si>
  <si>
    <t xml:space="preserve">P1080005.JPG</t>
  </si>
  <si>
    <t xml:space="preserve">2008-01-08</t>
  </si>
  <si>
    <t xml:space="preserve">P1080006.JPG</t>
  </si>
  <si>
    <t xml:space="preserve">P1080021.JPG</t>
  </si>
  <si>
    <t xml:space="preserve">P1080022.JPG</t>
  </si>
  <si>
    <t xml:space="preserve">P1110009.JPG</t>
  </si>
  <si>
    <t xml:space="preserve">2008-01-11</t>
  </si>
  <si>
    <t xml:space="preserve">P1120013.JPG</t>
  </si>
  <si>
    <t xml:space="preserve">P1120014.JPG</t>
  </si>
  <si>
    <t xml:space="preserve">P1120015.JPG</t>
  </si>
  <si>
    <t xml:space="preserve">P1120016.JPG</t>
  </si>
  <si>
    <t xml:space="preserve">P1120017.JPG</t>
  </si>
  <si>
    <t xml:space="preserve">P1120022.JPG</t>
  </si>
  <si>
    <t xml:space="preserve">P1120023.JPG</t>
  </si>
  <si>
    <t xml:space="preserve">P1120024.JPG</t>
  </si>
  <si>
    <t xml:space="preserve">P1120025.JPG</t>
  </si>
  <si>
    <t xml:space="preserve">P1140001.JPG</t>
  </si>
  <si>
    <t xml:space="preserve">2008-01-14</t>
  </si>
  <si>
    <t xml:space="preserve">P1140002.JPG</t>
  </si>
  <si>
    <t xml:space="preserve">P1140003.JPG</t>
  </si>
  <si>
    <t xml:space="preserve">P1140004.JPG</t>
  </si>
  <si>
    <t xml:space="preserve">P1140005.JPG</t>
  </si>
  <si>
    <t xml:space="preserve">P1140006.JPG</t>
  </si>
  <si>
    <t xml:space="preserve">P1180005.JPG</t>
  </si>
  <si>
    <t xml:space="preserve">2008-01-18</t>
  </si>
  <si>
    <t xml:space="preserve">P1180006.JPG</t>
  </si>
  <si>
    <t xml:space="preserve">P1180007.JPG</t>
  </si>
  <si>
    <t xml:space="preserve">P1180008.JPG</t>
  </si>
  <si>
    <t xml:space="preserve">P1180009.JPG</t>
  </si>
  <si>
    <t xml:space="preserve">P1180014.JPG</t>
  </si>
  <si>
    <t xml:space="preserve">P1180015.JPG</t>
  </si>
  <si>
    <t xml:space="preserve">P1190001.JPG</t>
  </si>
  <si>
    <t xml:space="preserve">P1190002.JPG</t>
  </si>
  <si>
    <t xml:space="preserve">P1190003.JPG</t>
  </si>
  <si>
    <t xml:space="preserve">P1190004.JPG</t>
  </si>
  <si>
    <t xml:space="preserve">P1190005.JPG</t>
  </si>
  <si>
    <t xml:space="preserve">P1190006.JPG</t>
  </si>
  <si>
    <t xml:space="preserve">P1190007.JPG</t>
  </si>
  <si>
    <t xml:space="preserve">P1190008.JPG</t>
  </si>
  <si>
    <t xml:space="preserve">P1190011.JPG</t>
  </si>
  <si>
    <t xml:space="preserve">P2230011.JPG</t>
  </si>
  <si>
    <t xml:space="preserve">2008-02-23</t>
  </si>
  <si>
    <t xml:space="preserve">P2230012.JPG</t>
  </si>
  <si>
    <t xml:space="preserve">P2230013.JPG</t>
  </si>
  <si>
    <t xml:space="preserve">P5140001.JPG</t>
  </si>
  <si>
    <t xml:space="preserve">2008-05-14</t>
  </si>
  <si>
    <t xml:space="preserve">P5140002.JPG</t>
  </si>
  <si>
    <t xml:space="preserve">P5140006.JPG</t>
  </si>
  <si>
    <t xml:space="preserve">P5140007.JPG</t>
  </si>
  <si>
    <t xml:space="preserve">P5140008.JPG</t>
  </si>
  <si>
    <t xml:space="preserve">P5140009.JPG</t>
  </si>
  <si>
    <t xml:space="preserve">P5140010.JPG</t>
  </si>
  <si>
    <t xml:space="preserve">2008-06-25</t>
  </si>
  <si>
    <t xml:space="preserve">P5140011.JPG</t>
  </si>
  <si>
    <t xml:space="preserve">P5140012.JPG</t>
  </si>
  <si>
    <t xml:space="preserve">P5140013.JPG</t>
  </si>
  <si>
    <t xml:space="preserve">P5140014.JPG</t>
  </si>
  <si>
    <t xml:space="preserve">P5140015.JPG</t>
  </si>
  <si>
    <t xml:space="preserve">P5140016.JPG</t>
  </si>
  <si>
    <t xml:space="preserve">P5140017.JPG</t>
  </si>
  <si>
    <t xml:space="preserve">P5150003.JPG</t>
  </si>
  <si>
    <t xml:space="preserve">2008-05-15</t>
  </si>
  <si>
    <t xml:space="preserve">P5150004.JPG</t>
  </si>
  <si>
    <t xml:space="preserve">P5150005.JPG</t>
  </si>
  <si>
    <t xml:space="preserve">P5150006.JPG</t>
  </si>
  <si>
    <t xml:space="preserve">P5150007.JPG</t>
  </si>
  <si>
    <t xml:space="preserve">P5150008.JPG</t>
  </si>
  <si>
    <t xml:space="preserve">P5150009.JPG</t>
  </si>
  <si>
    <t xml:space="preserve">P5150010.JPG</t>
  </si>
  <si>
    <t xml:space="preserve">P5150011.JPG</t>
  </si>
  <si>
    <t xml:space="preserve">P5150012.JPG</t>
  </si>
  <si>
    <r>
      <rPr>
        <sz val="9"/>
        <rFont val="Noto Sans CJK SC"/>
        <family val="2"/>
      </rPr>
      <t xml:space="preserve">새 그림</t>
    </r>
    <r>
      <rPr>
        <sz val="9"/>
        <rFont val="맑은 고딕"/>
        <family val="0"/>
        <charset val="1"/>
      </rPr>
      <t xml:space="preserve">.png</t>
    </r>
  </si>
  <si>
    <t xml:space="preserve">.png</t>
  </si>
  <si>
    <t xml:space="preserve">20150527_105012.jpg</t>
  </si>
  <si>
    <t xml:space="preserve">20150527_105018.jpg</t>
  </si>
  <si>
    <t xml:space="preserve">20150527_105119.jpg</t>
  </si>
  <si>
    <t xml:space="preserve">20150527_105134.jpg</t>
  </si>
  <si>
    <t xml:space="preserve">20150527_105140.jpg</t>
  </si>
  <si>
    <t xml:space="preserve">sight glass.jpg</t>
  </si>
  <si>
    <t xml:space="preserve">20161019_151307.jpg</t>
  </si>
  <si>
    <t xml:space="preserve">20161019_151325.jpg</t>
  </si>
  <si>
    <t xml:space="preserve">20161019_151337.jpg</t>
  </si>
  <si>
    <t xml:space="preserve">20161019_151412.jpg</t>
  </si>
  <si>
    <t xml:space="preserve">20161019_151451.jpg</t>
  </si>
  <si>
    <t xml:space="preserve">20161019_151500.jpg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</si>
  <si>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/GD160803-</t>
    </r>
    <r>
      <rPr>
        <sz val="9"/>
        <rFont val="Noto Sans CJK SC"/>
        <family val="2"/>
      </rPr>
      <t xml:space="preserve">누체필터</t>
    </r>
    <r>
      <rPr>
        <sz val="9"/>
        <rFont val="맑은 고딕"/>
        <family val="0"/>
        <charset val="1"/>
      </rPr>
      <t xml:space="preserve">10L/</t>
    </r>
    <r>
      <rPr>
        <sz val="9"/>
        <rFont val="Noto Sans CJK SC"/>
        <family val="2"/>
      </rPr>
      <t xml:space="preserve">제작관련사진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까마귀</t>
    </r>
  </si>
  <si>
    <t xml:space="preserve">20161101_181312.jpg</t>
  </si>
  <si>
    <t xml:space="preserve">20161101_181318.jpg</t>
  </si>
  <si>
    <t xml:space="preserve">20161101_181327.jpg</t>
  </si>
  <si>
    <t xml:space="preserve">20161101_181336.jpg</t>
  </si>
  <si>
    <t xml:space="preserve">20161102_173243.jpg</t>
  </si>
  <si>
    <t xml:space="preserve">2016-11-02</t>
  </si>
  <si>
    <t xml:space="preserve">20161102_173300.jpg</t>
  </si>
  <si>
    <t xml:space="preserve">20161102_173303.jpg</t>
  </si>
  <si>
    <t xml:space="preserve">20161102_173324.jpg</t>
  </si>
  <si>
    <t xml:space="preserve">20161102_173359.jpg</t>
  </si>
  <si>
    <t xml:space="preserve">20161102_173621.jpg</t>
  </si>
  <si>
    <t xml:space="preserve">20161102_173628.jpg</t>
  </si>
  <si>
    <t xml:space="preserve">20161102_173711.jpg</t>
  </si>
  <si>
    <t xml:space="preserve">20161102_174904.jpg</t>
  </si>
  <si>
    <t xml:space="preserve">20161102_180000.jpg</t>
  </si>
  <si>
    <t xml:space="preserve">20161102_180038.jpg</t>
  </si>
  <si>
    <t xml:space="preserve">20161102_180649.jpg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</si>
  <si>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/GD160803-</t>
    </r>
    <r>
      <rPr>
        <sz val="9"/>
        <rFont val="Noto Sans CJK SC"/>
        <family val="2"/>
      </rPr>
      <t xml:space="preserve">누체필터</t>
    </r>
    <r>
      <rPr>
        <sz val="9"/>
        <rFont val="맑은 고딕"/>
        <family val="0"/>
        <charset val="1"/>
      </rPr>
      <t xml:space="preserve">10L/</t>
    </r>
    <r>
      <rPr>
        <sz val="9"/>
        <rFont val="Noto Sans CJK SC"/>
        <family val="2"/>
      </rPr>
      <t xml:space="preserve">제작관련사진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까치</t>
    </r>
  </si>
  <si>
    <t xml:space="preserve">20161103_175006.jpg</t>
  </si>
  <si>
    <t xml:space="preserve">2016-11-03</t>
  </si>
  <si>
    <t xml:space="preserve">20161103_175016.jpg</t>
  </si>
  <si>
    <t xml:space="preserve">20161103_175028.jpg</t>
  </si>
  <si>
    <t xml:space="preserve">20161103_175058.jpg</t>
  </si>
  <si>
    <t xml:space="preserve">20161103_175101.jpg</t>
  </si>
  <si>
    <t xml:space="preserve">20161103_175114.jpg</t>
  </si>
  <si>
    <t xml:space="preserve">20161103_175116.jpg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</si>
  <si>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/GD160803-</t>
    </r>
    <r>
      <rPr>
        <sz val="9"/>
        <rFont val="Noto Sans CJK SC"/>
        <family val="2"/>
      </rPr>
      <t xml:space="preserve">누체필터</t>
    </r>
    <r>
      <rPr>
        <sz val="9"/>
        <rFont val="맑은 고딕"/>
        <family val="0"/>
        <charset val="1"/>
      </rPr>
      <t xml:space="preserve">10L/</t>
    </r>
    <r>
      <rPr>
        <sz val="9"/>
        <rFont val="Noto Sans CJK SC"/>
        <family val="2"/>
      </rPr>
      <t xml:space="preserve">제작관련사진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나무발발이</t>
    </r>
  </si>
  <si>
    <t xml:space="preserve">20161028_145817.jpg</t>
  </si>
  <si>
    <t xml:space="preserve">20161028_145822.jpg</t>
  </si>
  <si>
    <t xml:space="preserve">20161028_145827.jpg</t>
  </si>
  <si>
    <t xml:space="preserve">20161028_145846.jpg</t>
  </si>
  <si>
    <t xml:space="preserve">20161028_145852.jpg</t>
  </si>
  <si>
    <t xml:space="preserve">20161028_145914.jpg</t>
  </si>
  <si>
    <t xml:space="preserve">20161028_145918.jpg</t>
  </si>
  <si>
    <t xml:space="preserve">20161028_150813.jpg</t>
  </si>
  <si>
    <t xml:space="preserve">20161031_091341.jpg</t>
  </si>
  <si>
    <t xml:space="preserve">2016-10-31</t>
  </si>
  <si>
    <t xml:space="preserve">20161031_091350.jpg</t>
  </si>
  <si>
    <t xml:space="preserve">20161031_091353.jpg</t>
  </si>
  <si>
    <t xml:space="preserve">20161031_091416.jpg</t>
  </si>
  <si>
    <t xml:space="preserve">20161031_091421.jpg</t>
  </si>
  <si>
    <t xml:space="preserve">20161031_091425.jpg</t>
  </si>
  <si>
    <t xml:space="preserve">20161031_091430.jpg</t>
  </si>
  <si>
    <t xml:space="preserve">20161031_091440.jpg</t>
  </si>
  <si>
    <t xml:space="preserve">20161031_091448.jpg</t>
  </si>
  <si>
    <t xml:space="preserve">20161031_091452.jpg</t>
  </si>
  <si>
    <t xml:space="preserve">20161031_091526.jpg</t>
  </si>
  <si>
    <t xml:space="preserve">20161031_091533.jpg</t>
  </si>
  <si>
    <t xml:space="preserve">20161031_091543.jpg</t>
  </si>
  <si>
    <t xml:space="preserve">20161027_154856.jpg</t>
  </si>
  <si>
    <t xml:space="preserve">20161027_155210.jpg</t>
  </si>
  <si>
    <t xml:space="preserve">20161027_155213.jpg</t>
  </si>
  <si>
    <t xml:space="preserve">20161027_155227.jpg</t>
  </si>
  <si>
    <t xml:space="preserve">20161027_162419.jpg</t>
  </si>
  <si>
    <t xml:space="preserve">20161027_162426.jpg</t>
  </si>
  <si>
    <t xml:space="preserve">20161027_162437.jpg</t>
  </si>
  <si>
    <t xml:space="preserve">1477433213927.jpg</t>
  </si>
  <si>
    <t xml:space="preserve">1477433216879.jpg</t>
  </si>
  <si>
    <t xml:space="preserve">1477433218683.jpg</t>
  </si>
  <si>
    <t xml:space="preserve">1477433221310.jpg</t>
  </si>
  <si>
    <t xml:space="preserve">1477433223101.jpg</t>
  </si>
  <si>
    <t xml:space="preserve">1477433225393.jpg</t>
  </si>
  <si>
    <t xml:space="preserve">1477433227558.jpg</t>
  </si>
  <si>
    <t xml:space="preserve">1477433230381.jpg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</si>
  <si>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/GD160805-</t>
    </r>
    <r>
      <rPr>
        <sz val="9"/>
        <rFont val="Noto Sans CJK SC"/>
        <family val="2"/>
      </rPr>
      <t xml:space="preserve">누체필터</t>
    </r>
    <r>
      <rPr>
        <sz val="9"/>
        <rFont val="맑은 고딕"/>
        <family val="0"/>
        <charset val="1"/>
      </rPr>
      <t xml:space="preserve">50L/</t>
    </r>
    <r>
      <rPr>
        <sz val="9"/>
        <rFont val="Noto Sans CJK SC"/>
        <family val="2"/>
      </rPr>
      <t xml:space="preserve">제작사진</t>
    </r>
  </si>
  <si>
    <t xml:space="preserve">20161208_131511.jpg</t>
  </si>
  <si>
    <t xml:space="preserve">2016-12-08</t>
  </si>
  <si>
    <t xml:space="preserve">20161208_132117.jpg</t>
  </si>
  <si>
    <t xml:space="preserve">20161208_132122.jpg</t>
  </si>
  <si>
    <t xml:space="preserve">20161208_132124.jpg</t>
  </si>
  <si>
    <t xml:space="preserve">20161208_135953.jpg</t>
  </si>
  <si>
    <t xml:space="preserve">20161216_170557.jpg</t>
  </si>
  <si>
    <t xml:space="preserve">2016-12-16</t>
  </si>
  <si>
    <t xml:space="preserve">20161216_170604.jpg</t>
  </si>
  <si>
    <t xml:space="preserve">20161216_170608.jpg</t>
  </si>
  <si>
    <t xml:space="preserve">20161216_170613.jpg</t>
  </si>
  <si>
    <t xml:space="preserve">20161216_170628.jpg</t>
  </si>
  <si>
    <t xml:space="preserve">20161216_170706.jpg</t>
  </si>
  <si>
    <t xml:space="preserve">20161216_171425.jpg</t>
  </si>
  <si>
    <t xml:space="preserve">20161230_125814.jpg</t>
  </si>
  <si>
    <t xml:space="preserve">20161230_125820.jpg</t>
  </si>
  <si>
    <t xml:space="preserve">20161230_135201.jpg</t>
  </si>
  <si>
    <t xml:space="preserve">20170102_090516.jpg</t>
  </si>
  <si>
    <t xml:space="preserve">20170102_090530.jpg</t>
  </si>
  <si>
    <t xml:space="preserve">20170102_090540.jpg</t>
  </si>
  <si>
    <t xml:space="preserve">20170102_090919.jpg</t>
  </si>
  <si>
    <t xml:space="preserve">20170102_091232.jpg</t>
  </si>
  <si>
    <t xml:space="preserve">20170103_091835.jpg</t>
  </si>
  <si>
    <t xml:space="preserve">20170103_091841.jpg</t>
  </si>
  <si>
    <t xml:space="preserve">20170103_092033.jpg</t>
  </si>
  <si>
    <t xml:space="preserve">20170103_092039.jpg</t>
  </si>
  <si>
    <t xml:space="preserve">20170103_174410.jpg</t>
  </si>
  <si>
    <t xml:space="preserve">20170103_174416.jpg</t>
  </si>
  <si>
    <t xml:space="preserve">20170103_174424.jpg</t>
  </si>
  <si>
    <t xml:space="preserve">20170103_174439.jpg</t>
  </si>
  <si>
    <t xml:space="preserve">20170103_174449.jpg</t>
  </si>
  <si>
    <t xml:space="preserve">20170103_174454.jpg</t>
  </si>
  <si>
    <t xml:space="preserve">20170103_174519.jpg</t>
  </si>
  <si>
    <t xml:space="preserve">20170103_174931.jpg</t>
  </si>
  <si>
    <t xml:space="preserve">20170103_175158.jpg</t>
  </si>
  <si>
    <t xml:space="preserve">20170103_175204.jpg</t>
  </si>
  <si>
    <t xml:space="preserve">20170104_091038.jpg</t>
  </si>
  <si>
    <t xml:space="preserve">2017-01-04</t>
  </si>
  <si>
    <t xml:space="preserve">20170104_091046.jpg</t>
  </si>
  <si>
    <t xml:space="preserve">20170104_091055.jpg</t>
  </si>
  <si>
    <t xml:space="preserve">20170104_091100.jpg</t>
  </si>
  <si>
    <t xml:space="preserve">20170104_091115.jpg</t>
  </si>
  <si>
    <t xml:space="preserve">20170104_110829.jpg</t>
  </si>
  <si>
    <t xml:space="preserve">20170110_160505.jpg</t>
  </si>
  <si>
    <t xml:space="preserve">2017-01-10</t>
  </si>
  <si>
    <t xml:space="preserve">20170110_160512.jpg</t>
  </si>
  <si>
    <t xml:space="preserve">20170110_160519.jpg</t>
  </si>
  <si>
    <t xml:space="preserve">20170110_160608.jpg</t>
  </si>
  <si>
    <t xml:space="preserve">20170110_160704.jpg</t>
  </si>
  <si>
    <t xml:space="preserve">20170110_161413.jpg</t>
  </si>
  <si>
    <t xml:space="preserve">20170110_163514.jpg</t>
  </si>
  <si>
    <t xml:space="preserve">20170110_163712.jpg</t>
  </si>
  <si>
    <t xml:space="preserve">20170110_163731.jpg</t>
  </si>
  <si>
    <t xml:space="preserve">20170113_120558.jpg</t>
  </si>
  <si>
    <t xml:space="preserve">2017-01-13</t>
  </si>
  <si>
    <t xml:space="preserve">20170113_164718.jpg</t>
  </si>
  <si>
    <t xml:space="preserve">20170113_164724.jpg</t>
  </si>
  <si>
    <t xml:space="preserve">20170113_164728.jpg</t>
  </si>
  <si>
    <t xml:space="preserve">20170113_164736.jpg</t>
  </si>
  <si>
    <t xml:space="preserve">20170522_134813.jpg</t>
  </si>
  <si>
    <t xml:space="preserve">2017-05-22</t>
  </si>
  <si>
    <t xml:space="preserve">20170522_134823.jpg</t>
  </si>
  <si>
    <t xml:space="preserve">20170522_134903.jpg</t>
  </si>
  <si>
    <t xml:space="preserve">20170522_134936.jpg</t>
  </si>
  <si>
    <t xml:space="preserve">20170522_134944.jpg</t>
  </si>
  <si>
    <t xml:space="preserve">20170522_153152.jpg</t>
  </si>
  <si>
    <t xml:space="preserve">20170522_153154.jpg</t>
  </si>
  <si>
    <r>
      <rPr>
        <sz val="9"/>
        <rFont val="맑은 고딕"/>
        <family val="0"/>
        <charset val="1"/>
      </rPr>
      <t xml:space="preserve">17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/REACTOR</t>
    </r>
  </si>
  <si>
    <t xml:space="preserve">CONDRYER 1.jpg</t>
  </si>
  <si>
    <t xml:space="preserve">2017-09-20</t>
  </si>
  <si>
    <t xml:space="preserve">CONDRYER 2.jpg</t>
  </si>
  <si>
    <t xml:space="preserve">FLTER 1.jpg</t>
  </si>
  <si>
    <t xml:space="preserve">FLTER 2.jpg</t>
  </si>
  <si>
    <t xml:space="preserve">GL1 REACTOR HL1.jpg</t>
  </si>
  <si>
    <t xml:space="preserve">GL1 REACTOR HL2.jpg</t>
  </si>
  <si>
    <t xml:space="preserve">GL2 REACTOR HE1.jpg</t>
  </si>
  <si>
    <t xml:space="preserve">GL2 REACTOR-HH2.jpg</t>
  </si>
  <si>
    <t xml:space="preserve">GL3 REACTOR HE1.jpg</t>
  </si>
  <si>
    <t xml:space="preserve">GL3 REACTOR HE2.jpg</t>
  </si>
  <si>
    <t xml:space="preserve">HEATER EXCXIT.jpg</t>
  </si>
  <si>
    <t xml:space="preserve">REACTOR 1.jpg</t>
  </si>
  <si>
    <t xml:space="preserve">TANK HJ TYPE 1.jpg</t>
  </si>
  <si>
    <t xml:space="preserve">TANK HJ TYPE 2.jpg</t>
  </si>
  <si>
    <t xml:space="preserve">TANK HW TYPE 1.jpg</t>
  </si>
  <si>
    <t xml:space="preserve">TANK HW TYPE 2.jpg</t>
  </si>
  <si>
    <t xml:space="preserve">TANK1.jpg</t>
  </si>
  <si>
    <t xml:space="preserve">TANK2.jpg</t>
  </si>
  <si>
    <r>
      <rPr>
        <sz val="9"/>
        <rFont val="맑은 고딕"/>
        <family val="0"/>
        <charset val="1"/>
      </rPr>
      <t xml:space="preserve">DIN </t>
    </r>
    <r>
      <rPr>
        <sz val="9"/>
        <rFont val="Noto Sans CJK SC"/>
        <family val="2"/>
      </rPr>
      <t xml:space="preserve">플렌지 견적</t>
    </r>
    <r>
      <rPr>
        <sz val="9"/>
        <rFont val="맑은 고딕"/>
        <family val="0"/>
        <charset val="1"/>
      </rPr>
      <t xml:space="preserve">.jpg</t>
    </r>
  </si>
  <si>
    <t xml:space="preserve">2020-03-26</t>
  </si>
  <si>
    <r>
      <rPr>
        <sz val="9"/>
        <rFont val="맑은 고딕"/>
        <family val="0"/>
        <charset val="1"/>
      </rPr>
      <t xml:space="preserve">GD1905-01-</t>
    </r>
    <r>
      <rPr>
        <sz val="9"/>
        <rFont val="Noto Sans CJK SC"/>
        <family val="2"/>
      </rPr>
      <t xml:space="preserve">용접부위도</t>
    </r>
    <r>
      <rPr>
        <sz val="9"/>
        <rFont val="맑은 고딕"/>
        <family val="0"/>
        <charset val="1"/>
      </rPr>
      <t xml:space="preserve">.jpg</t>
    </r>
  </si>
  <si>
    <t xml:space="preserve">GD1606-01-00.bak</t>
  </si>
  <si>
    <t xml:space="preserve">.bak</t>
  </si>
  <si>
    <t xml:space="preserve">GD1606-01-01-LASER.bak</t>
  </si>
  <si>
    <t xml:space="preserve">GD1606-01-01.bak</t>
  </si>
  <si>
    <t xml:space="preserve">GD1606-01-01A-LASER.bak</t>
  </si>
  <si>
    <t xml:space="preserve">GD1606-01-01A1-LASER.bak</t>
  </si>
  <si>
    <t xml:space="preserve">GD1606-01-01B-LASER.bak</t>
  </si>
  <si>
    <t xml:space="preserve">GD1606-01-01C-LASER.bak</t>
  </si>
  <si>
    <t xml:space="preserve">GD1606-01-01D-LASER.bak</t>
  </si>
  <si>
    <t xml:space="preserve">GD1606-01-01E-LASER.bak</t>
  </si>
  <si>
    <t xml:space="preserve">GD1606-01-03.bak</t>
  </si>
  <si>
    <t xml:space="preserve">GD1606-01-03A.bak</t>
  </si>
  <si>
    <t xml:space="preserve">GD1606-01-03C.bak</t>
  </si>
  <si>
    <t xml:space="preserve">GD1606-01-03C2.bak</t>
  </si>
  <si>
    <r>
      <rPr>
        <sz val="9"/>
        <rFont val="Noto Sans CJK SC"/>
        <family val="2"/>
      </rPr>
      <t xml:space="preserve">보온</t>
    </r>
    <r>
      <rPr>
        <sz val="9"/>
        <rFont val="맑은 고딕"/>
        <family val="0"/>
        <charset val="1"/>
      </rPr>
      <t xml:space="preserve">COVER-LASER.bak</t>
    </r>
  </si>
  <si>
    <t xml:space="preserve">10LT FILTER.bak</t>
  </si>
  <si>
    <t xml:space="preserve">GD160803-01-00.bak</t>
  </si>
  <si>
    <t xml:space="preserve">GD160803-01-00A.bak</t>
  </si>
  <si>
    <t xml:space="preserve">GD160803-01-00B.bak</t>
  </si>
  <si>
    <t xml:space="preserve">GD160803-01-00BC.bak</t>
  </si>
  <si>
    <t xml:space="preserve">GD160803-01-02.bak</t>
  </si>
  <si>
    <t xml:space="preserve">GD160803-LASER-1.bak</t>
  </si>
  <si>
    <t xml:space="preserve">GD160803-LASER.bak</t>
  </si>
  <si>
    <t xml:space="preserve">GD160803-nutsche filter-10L.bak</t>
  </si>
  <si>
    <r>
      <rPr>
        <sz val="9"/>
        <rFont val="맑은 고딕"/>
        <family val="0"/>
        <charset val="1"/>
      </rPr>
      <t xml:space="preserve">GD160805-00-00 150L </t>
    </r>
    <r>
      <rPr>
        <sz val="9"/>
        <rFont val="Noto Sans CJK SC"/>
        <family val="2"/>
      </rPr>
      <t xml:space="preserve">누체필터</t>
    </r>
    <r>
      <rPr>
        <sz val="9"/>
        <rFont val="맑은 고딕"/>
        <family val="0"/>
        <charset val="1"/>
      </rPr>
      <t xml:space="preserve">.bak</t>
    </r>
  </si>
  <si>
    <t xml:space="preserve">GD160805-00-00B.bak</t>
  </si>
  <si>
    <t xml:space="preserve">GD160805-00-01-LASER.bak</t>
  </si>
  <si>
    <t xml:space="preserve">GD160805-00-01-LASER2.bak</t>
  </si>
  <si>
    <t xml:space="preserve">GD160805-00-01-LASER4.bak</t>
  </si>
  <si>
    <t xml:space="preserve">GD160805-00-01-LASER5.bak</t>
  </si>
  <si>
    <t xml:space="preserve">GD160805-00-01-LASER6.bak</t>
  </si>
  <si>
    <t xml:space="preserve">GD160805-00-01-LASER7.bak</t>
  </si>
  <si>
    <t xml:space="preserve">GD160805-00-01-LASER8.bak</t>
  </si>
  <si>
    <t xml:space="preserve">GD160805-00-01-PACKING.bak</t>
  </si>
  <si>
    <r>
      <rPr>
        <sz val="9"/>
        <rFont val="맑은 고딕"/>
        <family val="0"/>
        <charset val="1"/>
      </rPr>
      <t xml:space="preserve">GD160805-00-01-</t>
    </r>
    <r>
      <rPr>
        <sz val="9"/>
        <rFont val="Noto Sans CJK SC"/>
        <family val="2"/>
      </rPr>
      <t xml:space="preserve">다공판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</si>
  <si>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맑은 고딕"/>
        <family val="0"/>
        <charset val="1"/>
      </rPr>
      <t xml:space="preserve">GD160805-00-01-</t>
    </r>
    <r>
      <rPr>
        <sz val="9"/>
        <rFont val="Noto Sans CJK SC"/>
        <family val="2"/>
      </rPr>
      <t xml:space="preserve">웜기어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</si>
  <si>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맑은 고딕"/>
        <family val="0"/>
        <charset val="1"/>
      </rPr>
      <t xml:space="preserve">GD160805-00-01-</t>
    </r>
    <r>
      <rPr>
        <sz val="9"/>
        <rFont val="Noto Sans CJK SC"/>
        <family val="2"/>
      </rPr>
      <t xml:space="preserve">웜기어</t>
    </r>
    <r>
      <rPr>
        <sz val="9"/>
        <rFont val="맑은 고딕"/>
        <family val="0"/>
        <charset val="1"/>
      </rPr>
      <t xml:space="preserve">A.bak</t>
    </r>
  </si>
  <si>
    <t xml:space="preserve">GD160805-00-03-LASER.bak</t>
  </si>
  <si>
    <t xml:space="preserve">GD160805-00-03-LASER1.bak</t>
  </si>
  <si>
    <r>
      <rPr>
        <sz val="9"/>
        <rFont val="맑은 고딕"/>
        <family val="0"/>
        <charset val="1"/>
      </rPr>
      <t xml:space="preserve">GD160805-00-03-</t>
    </r>
    <r>
      <rPr>
        <sz val="9"/>
        <rFont val="Noto Sans CJK SC"/>
        <family val="2"/>
      </rPr>
      <t xml:space="preserve">가공</t>
    </r>
    <r>
      <rPr>
        <sz val="9"/>
        <rFont val="맑은 고딕"/>
        <family val="0"/>
        <charset val="1"/>
      </rPr>
      <t xml:space="preserve">.bak</t>
    </r>
  </si>
  <si>
    <t xml:space="preserve">PR2402CD01-SP080114.bak</t>
  </si>
  <si>
    <t xml:space="preserve">2014-03-26</t>
  </si>
  <si>
    <t xml:space="preserve">PR2402DataSheet-080623.bak</t>
  </si>
  <si>
    <t xml:space="preserve">PR2402EQ01-SP080112.bak</t>
  </si>
  <si>
    <t xml:space="preserve">PR2402EQ02-SP071220.bak</t>
  </si>
  <si>
    <t xml:space="preserve">PR2402EQ03-SP080112.bak</t>
  </si>
  <si>
    <t xml:space="preserve">PR2402EQ04-SP080112.bak</t>
  </si>
  <si>
    <t xml:space="preserve">PR2402LY01-SP071123.bak</t>
  </si>
  <si>
    <t xml:space="preserve">PR2402PD01-SP090512.bak</t>
  </si>
  <si>
    <t xml:space="preserve">PR2402RT01-SP071121.bak</t>
  </si>
  <si>
    <t xml:space="preserve">COVER.bak</t>
  </si>
  <si>
    <t xml:space="preserve">PLATE.bak</t>
  </si>
  <si>
    <r>
      <rPr>
        <sz val="9"/>
        <rFont val="Noto Sans CJK SC"/>
        <family val="2"/>
      </rPr>
      <t xml:space="preserve">두루텍 허가도면</t>
    </r>
    <r>
      <rPr>
        <sz val="9"/>
        <rFont val="맑은 고딕"/>
        <family val="0"/>
        <charset val="1"/>
      </rPr>
      <t xml:space="preserve">2007.bak</t>
    </r>
  </si>
  <si>
    <t xml:space="preserve">2017-09-15</t>
  </si>
  <si>
    <r>
      <rPr>
        <sz val="9"/>
        <rFont val="Noto Sans CJK SC"/>
        <family val="2"/>
      </rPr>
      <t xml:space="preserve">두루텍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오븐 명판</t>
    </r>
    <r>
      <rPr>
        <sz val="9"/>
        <rFont val="맑은 고딕"/>
        <family val="0"/>
        <charset val="1"/>
      </rPr>
      <t xml:space="preserve">A.bak</t>
    </r>
  </si>
  <si>
    <r>
      <rPr>
        <sz val="9"/>
        <rFont val="Noto Sans CJK SC"/>
        <family val="2"/>
      </rPr>
      <t xml:space="preserve">두루텍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오븐 명판</t>
    </r>
    <r>
      <rPr>
        <sz val="9"/>
        <rFont val="맑은 고딕"/>
        <family val="0"/>
        <charset val="1"/>
      </rPr>
      <t xml:space="preserve">B.bak</t>
    </r>
  </si>
  <si>
    <r>
      <rPr>
        <sz val="9"/>
        <rFont val="맑은 고딕"/>
        <family val="0"/>
        <charset val="1"/>
      </rPr>
      <t xml:space="preserve">GD170402-01-</t>
    </r>
    <r>
      <rPr>
        <sz val="9"/>
        <rFont val="Noto Sans CJK SC"/>
        <family val="2"/>
      </rPr>
      <t xml:space="preserve">콘베어</t>
    </r>
    <r>
      <rPr>
        <sz val="9"/>
        <rFont val="맑은 고딕"/>
        <family val="0"/>
        <charset val="1"/>
      </rPr>
      <t xml:space="preserve">-L.bak</t>
    </r>
  </si>
  <si>
    <r>
      <rPr>
        <sz val="9"/>
        <rFont val="맑은 고딕"/>
        <family val="0"/>
        <charset val="1"/>
      </rPr>
      <t xml:space="preserve">GD170402-01-</t>
    </r>
    <r>
      <rPr>
        <sz val="9"/>
        <rFont val="Noto Sans CJK SC"/>
        <family val="2"/>
      </rPr>
      <t xml:space="preserve">콘베어</t>
    </r>
    <r>
      <rPr>
        <sz val="9"/>
        <rFont val="맑은 고딕"/>
        <family val="0"/>
        <charset val="1"/>
      </rPr>
      <t xml:space="preserve">-L1.bak</t>
    </r>
  </si>
  <si>
    <r>
      <rPr>
        <sz val="9"/>
        <rFont val="맑은 고딕"/>
        <family val="0"/>
        <charset val="1"/>
      </rPr>
      <t xml:space="preserve">GD170402-01-</t>
    </r>
    <r>
      <rPr>
        <sz val="9"/>
        <rFont val="Noto Sans CJK SC"/>
        <family val="2"/>
      </rPr>
      <t xml:space="preserve">콘베어</t>
    </r>
    <r>
      <rPr>
        <sz val="9"/>
        <rFont val="맑은 고딕"/>
        <family val="0"/>
        <charset val="1"/>
      </rPr>
      <t xml:space="preserve">-L2.bak</t>
    </r>
  </si>
  <si>
    <t xml:space="preserve">GD170402-01.bak</t>
  </si>
  <si>
    <t xml:space="preserve">GD170402-02.bak</t>
  </si>
  <si>
    <r>
      <rPr>
        <sz val="9"/>
        <rFont val="Noto Sans CJK SC"/>
        <family val="2"/>
      </rPr>
      <t xml:space="preserve">센딩기 </t>
    </r>
    <r>
      <rPr>
        <sz val="9"/>
        <rFont val="맑은 고딕"/>
        <family val="0"/>
        <charset val="1"/>
      </rPr>
      <t xml:space="preserve">201700919.bak</t>
    </r>
  </si>
  <si>
    <r>
      <rPr>
        <sz val="9"/>
        <rFont val="Noto Sans CJK SC"/>
        <family val="2"/>
      </rPr>
      <t xml:space="preserve">한농화성 </t>
    </r>
    <r>
      <rPr>
        <sz val="9"/>
        <rFont val="맑은 고딕"/>
        <family val="0"/>
        <charset val="1"/>
      </rPr>
      <t xml:space="preserve">Receiver 50 - </t>
    </r>
    <r>
      <rPr>
        <sz val="9"/>
        <rFont val="Noto Sans CJK SC"/>
        <family val="2"/>
      </rPr>
      <t xml:space="preserve">경동글로벌텍</t>
    </r>
    <r>
      <rPr>
        <sz val="9"/>
        <rFont val="맑은 고딕"/>
        <family val="0"/>
        <charset val="1"/>
      </rPr>
      <t xml:space="preserve">.bak</t>
    </r>
  </si>
  <si>
    <t xml:space="preserve">DOOR LOCK BRACKET.bak</t>
  </si>
  <si>
    <t xml:space="preserve">DOOR COVER.bak</t>
  </si>
  <si>
    <t xml:space="preserve">GD180201-00-door.bak</t>
  </si>
  <si>
    <t xml:space="preserve">GD180201-01L3.bak</t>
  </si>
  <si>
    <t xml:space="preserve">GD180201-02.bak</t>
  </si>
  <si>
    <t xml:space="preserve">GD180201-02AL.bak</t>
  </si>
  <si>
    <t xml:space="preserve">GD180201-02BL.bak</t>
  </si>
  <si>
    <t xml:space="preserve">GD180201-03.bak</t>
  </si>
  <si>
    <t xml:space="preserve">GD180201-03W.bak</t>
  </si>
  <si>
    <t xml:space="preserve">nife.bak</t>
  </si>
  <si>
    <r>
      <rPr>
        <sz val="9"/>
        <rFont val="Noto Sans CJK SC"/>
        <family val="2"/>
      </rPr>
      <t xml:space="preserve">다이</t>
    </r>
    <r>
      <rPr>
        <sz val="9"/>
        <rFont val="맑은 고딕"/>
        <family val="0"/>
        <charset val="1"/>
      </rPr>
      <t xml:space="preserve">-20180405.bak</t>
    </r>
  </si>
  <si>
    <r>
      <rPr>
        <sz val="9"/>
        <rFont val="Noto Sans CJK SC"/>
        <family val="2"/>
      </rPr>
      <t xml:space="preserve">다이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</si>
  <si>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Noto Sans CJK SC"/>
        <family val="2"/>
      </rPr>
      <t xml:space="preserve">다이</t>
    </r>
    <r>
      <rPr>
        <sz val="9"/>
        <rFont val="맑은 고딕"/>
        <family val="0"/>
        <charset val="1"/>
      </rPr>
      <t xml:space="preserve">A.bak</t>
    </r>
  </si>
  <si>
    <r>
      <rPr>
        <sz val="9"/>
        <rFont val="Noto Sans CJK SC"/>
        <family val="2"/>
      </rPr>
      <t xml:space="preserve">다이</t>
    </r>
    <r>
      <rPr>
        <sz val="9"/>
        <rFont val="맑은 고딕"/>
        <family val="0"/>
        <charset val="1"/>
      </rPr>
      <t xml:space="preserve">b.bak</t>
    </r>
  </si>
  <si>
    <t xml:space="preserve">HEAT_EX_101.bak</t>
  </si>
  <si>
    <r>
      <rPr>
        <sz val="9"/>
        <rFont val="맑은 고딕"/>
        <family val="0"/>
        <charset val="1"/>
      </rPr>
      <t xml:space="preserve">GD1904-01V-00 </t>
    </r>
    <r>
      <rPr>
        <sz val="9"/>
        <rFont val="Noto Sans CJK SC"/>
        <family val="2"/>
      </rPr>
      <t xml:space="preserve">리시버탱크 레이저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</si>
  <si>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맑은 고딕"/>
        <family val="0"/>
        <charset val="1"/>
      </rPr>
      <t xml:space="preserve">GD1904-01V-00 </t>
    </r>
    <r>
      <rPr>
        <sz val="9"/>
        <rFont val="Noto Sans CJK SC"/>
        <family val="2"/>
      </rPr>
      <t xml:space="preserve">리시버탱크 명판브리켓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</si>
  <si>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맑은 고딕"/>
        <family val="0"/>
        <charset val="1"/>
      </rPr>
      <t xml:space="preserve">GD1904-01V-00 </t>
    </r>
    <r>
      <rPr>
        <sz val="9"/>
        <rFont val="Noto Sans CJK SC"/>
        <family val="2"/>
      </rPr>
      <t xml:space="preserve">리시버탱크 물 빋침대</t>
    </r>
    <r>
      <rPr>
        <sz val="9"/>
        <rFont val="맑은 고딕"/>
        <family val="0"/>
        <charset val="1"/>
      </rPr>
      <t xml:space="preserve">.bak</t>
    </r>
  </si>
  <si>
    <t xml:space="preserve">SJ1904-01V-RECEIVER TANK 0.5MA.bak</t>
  </si>
  <si>
    <t xml:space="preserve">SJ1904-01V-RECEIVER TANK 0.5MB.bak</t>
  </si>
  <si>
    <t xml:space="preserve">SJ1904-02H-RECEIVER TANK 20L.bak</t>
  </si>
  <si>
    <t xml:space="preserve">WEC-KISCO-TN7200-20190510.bak</t>
  </si>
  <si>
    <t xml:space="preserve">WEC-KISCO-TN7200-20190510A.bak</t>
  </si>
  <si>
    <t xml:space="preserve">WEC-KISCO-TN7200-20190510D.bak</t>
  </si>
  <si>
    <t xml:space="preserve">WEC-KISCO-TN7200-20190510E.bak</t>
  </si>
  <si>
    <r>
      <rPr>
        <sz val="9"/>
        <rFont val="Noto Sans CJK SC"/>
        <family val="2"/>
      </rPr>
      <t xml:space="preserve">레벨 가이드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</si>
  <si>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Noto Sans CJK SC"/>
        <family val="2"/>
      </rPr>
      <t xml:space="preserve">레벨 가이드</t>
    </r>
    <r>
      <rPr>
        <sz val="9"/>
        <rFont val="맑은 고딕"/>
        <family val="0"/>
        <charset val="1"/>
      </rPr>
      <t xml:space="preserve">2.bak</t>
    </r>
  </si>
  <si>
    <t xml:space="preserve">RT03CD01A-NN130923.bak</t>
  </si>
  <si>
    <t xml:space="preserve">2014-01-18</t>
  </si>
  <si>
    <t xml:space="preserve">RT03EQ01A-NN130923.bak</t>
  </si>
  <si>
    <t xml:space="preserve">2013-10-01</t>
  </si>
  <si>
    <r>
      <rPr>
        <sz val="9"/>
        <rFont val="Noto Sans CJK SC"/>
        <family val="2"/>
      </rPr>
      <t xml:space="preserve">콘덴샤</t>
    </r>
    <r>
      <rPr>
        <sz val="9"/>
        <rFont val="맑은 고딕"/>
        <family val="0"/>
        <charset val="1"/>
      </rPr>
      <t xml:space="preserve">.bak</t>
    </r>
  </si>
  <si>
    <t xml:space="preserve">2014-01-17</t>
  </si>
  <si>
    <t xml:space="preserve">D-Tank Main Page-200123.bak</t>
  </si>
  <si>
    <t xml:space="preserve">Tanks Name plates Bracket.bak</t>
  </si>
  <si>
    <t xml:space="preserve">Tanks Name plates for additive skid system_SEK.bak</t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</si>
  <si>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경판절단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</si>
  <si>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2-316-4T.bak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</si>
  <si>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3-3T 304.bak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</si>
  <si>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4-4T 304.bak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</si>
  <si>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5-15T 304.bak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</si>
  <si>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7-15T 304.bak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</si>
  <si>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8-3T 304.bak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</si>
  <si>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레지저 </t>
    </r>
    <r>
      <rPr>
        <sz val="9"/>
        <rFont val="맑은 고딕"/>
        <family val="0"/>
        <charset val="1"/>
      </rPr>
      <t xml:space="preserve">1-3OT.bak</t>
    </r>
  </si>
  <si>
    <r>
      <rPr>
        <sz val="9"/>
        <rFont val="맑은 고딕"/>
        <family val="0"/>
        <charset val="1"/>
      </rPr>
      <t xml:space="preserve">GD1905-02 </t>
    </r>
    <r>
      <rPr>
        <sz val="9"/>
        <rFont val="Noto Sans CJK SC"/>
        <family val="2"/>
      </rPr>
      <t xml:space="preserve">셀 절단</t>
    </r>
    <r>
      <rPr>
        <sz val="9"/>
        <rFont val="맑은 고딕"/>
        <family val="0"/>
        <charset val="1"/>
      </rPr>
      <t xml:space="preserve">191229.bak</t>
    </r>
  </si>
  <si>
    <r>
      <rPr>
        <sz val="9"/>
        <rFont val="맑은 고딕"/>
        <family val="0"/>
        <charset val="1"/>
      </rPr>
      <t xml:space="preserve">GD1905-03 04</t>
    </r>
    <r>
      <rPr>
        <sz val="9"/>
        <rFont val="Noto Sans CJK SC"/>
        <family val="2"/>
      </rPr>
      <t xml:space="preserve">노즐 변경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</si>
  <si>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맑은 고딕"/>
        <family val="0"/>
        <charset val="1"/>
      </rPr>
      <t xml:space="preserve">GD1905-03 </t>
    </r>
    <r>
      <rPr>
        <sz val="9"/>
        <rFont val="Noto Sans CJK SC"/>
        <family val="2"/>
      </rPr>
      <t xml:space="preserve">노즐 변경 안</t>
    </r>
    <r>
      <rPr>
        <sz val="9"/>
        <rFont val="맑은 고딕"/>
        <family val="0"/>
        <charset val="1"/>
      </rPr>
      <t xml:space="preserve">.bak</t>
    </r>
  </si>
  <si>
    <t xml:space="preserve">GD1905-04 BRACKET.bak</t>
  </si>
  <si>
    <r>
      <rPr>
        <sz val="9"/>
        <rFont val="맑은 고딕"/>
        <family val="0"/>
        <charset val="1"/>
      </rPr>
      <t xml:space="preserve">GD1905-04 </t>
    </r>
    <r>
      <rPr>
        <sz val="9"/>
        <rFont val="Noto Sans CJK SC"/>
        <family val="2"/>
      </rPr>
      <t xml:space="preserve">노즐 맹 플렌지</t>
    </r>
    <r>
      <rPr>
        <sz val="9"/>
        <rFont val="맑은 고딕"/>
        <family val="0"/>
        <charset val="1"/>
      </rPr>
      <t xml:space="preserve">.bak</t>
    </r>
  </si>
  <si>
    <t xml:space="preserve">NI047-10-W01-Main Page.bak</t>
  </si>
  <si>
    <t xml:space="preserve">[DOOSAN-PID_ALL-ADDITIVE-2019.12.07(CODE-H)-07.bak</t>
  </si>
  <si>
    <t xml:space="preserve">[DOOSAN-PID_ALL-ADDITIVE-2019.12.07.bak</t>
  </si>
  <si>
    <t xml:space="preserve">NI047-10-W01-C_Tank with insulation_Main Page.bak</t>
  </si>
  <si>
    <t xml:space="preserve">NI047-10-W01-C_Tank with insulation_Phase 1_1.bak</t>
  </si>
  <si>
    <t xml:space="preserve">NI047-10-W01-C_Tank with insulation_Phase 1_2.bak</t>
  </si>
  <si>
    <t xml:space="preserve">NI047-10-W01-C_Tank with insulation_Phase 2.bak</t>
  </si>
  <si>
    <t xml:space="preserve">NI047-10-W01-C_Tank with insulation_Phase 3.bak</t>
  </si>
  <si>
    <t xml:space="preserve">NI047-10-W01-C_Tank with insulation_Phase 4.bak</t>
  </si>
  <si>
    <t xml:space="preserve">NI047-10-W01-C_Tank with insulation_Main Page_M.bak</t>
  </si>
  <si>
    <t xml:space="preserve">NI047-10-W01-C_Tank with insulation_Phase 1_1_M.bak</t>
  </si>
  <si>
    <t xml:space="preserve">NI047-10-W01-C_Tank-M-A.bak</t>
  </si>
  <si>
    <t xml:space="preserve">D_Tank Main Page.bak</t>
  </si>
  <si>
    <t xml:space="preserve">NI047-10-W01-D_Tank with insulation_Main Page_2010.bak</t>
  </si>
  <si>
    <t xml:space="preserve">LIFT HOOK.bak</t>
  </si>
  <si>
    <t xml:space="preserve">SAMPLE.bak</t>
  </si>
  <si>
    <r>
      <rPr>
        <sz val="9"/>
        <rFont val="맑은 고딕"/>
        <family val="0"/>
        <charset val="1"/>
      </rPr>
      <t xml:space="preserve">WELL-SUN-160L- </t>
    </r>
    <r>
      <rPr>
        <sz val="9"/>
        <rFont val="Noto Sans CJK SC"/>
        <family val="2"/>
      </rPr>
      <t xml:space="preserve">승인도면</t>
    </r>
    <r>
      <rPr>
        <sz val="9"/>
        <rFont val="맑은 고딕"/>
        <family val="0"/>
        <charset val="1"/>
      </rPr>
      <t xml:space="preserve">-1.bak</t>
    </r>
  </si>
  <si>
    <r>
      <rPr>
        <sz val="9"/>
        <rFont val="Noto Sans CJK SC"/>
        <family val="2"/>
      </rPr>
      <t xml:space="preserve">선바이오 </t>
    </r>
    <r>
      <rPr>
        <sz val="9"/>
        <rFont val="맑은 고딕"/>
        <family val="0"/>
        <charset val="1"/>
      </rPr>
      <t xml:space="preserve">CR-162 JACKET-191210-2.bak</t>
    </r>
  </si>
  <si>
    <r>
      <rPr>
        <sz val="9"/>
        <rFont val="Noto Sans CJK SC"/>
        <family val="2"/>
      </rPr>
      <t xml:space="preserve">선바이오 </t>
    </r>
    <r>
      <rPr>
        <sz val="9"/>
        <rFont val="맑은 고딕"/>
        <family val="0"/>
        <charset val="1"/>
      </rPr>
      <t xml:space="preserve">CR-162_200130.bak</t>
    </r>
  </si>
  <si>
    <t xml:space="preserve">SHEEL COVER LASER.bak</t>
  </si>
  <si>
    <t xml:space="preserve">SHEEL FLANGE LASER.bak</t>
  </si>
  <si>
    <r>
      <rPr>
        <sz val="9"/>
        <rFont val="맑은 고딕"/>
        <family val="0"/>
        <charset val="1"/>
      </rPr>
      <t xml:space="preserve">SHEEL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1.bak</t>
    </r>
  </si>
  <si>
    <r>
      <rPr>
        <sz val="9"/>
        <rFont val="맑은 고딕"/>
        <family val="0"/>
        <charset val="1"/>
      </rPr>
      <t xml:space="preserve">SHEEL </t>
    </r>
    <r>
      <rPr>
        <sz val="9"/>
        <rFont val="Noto Sans CJK SC"/>
        <family val="2"/>
      </rPr>
      <t xml:space="preserve">레이저</t>
    </r>
    <r>
      <rPr>
        <sz val="9"/>
        <rFont val="맑은 고딕"/>
        <family val="0"/>
        <charset val="1"/>
      </rPr>
      <t xml:space="preserve">.bak</t>
    </r>
  </si>
  <si>
    <t xml:space="preserve">impller LASER.bak</t>
  </si>
  <si>
    <t xml:space="preserve">GD2003-02-00-100L-C.bak</t>
  </si>
  <si>
    <t xml:space="preserve">GD2003-02-00-100L-E.bak</t>
  </si>
  <si>
    <t xml:space="preserve">GD2003-02-00-100L.bak</t>
  </si>
  <si>
    <t xml:space="preserve">GD2003-02-02-100L-D.bak</t>
  </si>
  <si>
    <t xml:space="preserve">GD2003-02-03-100L-D.bak</t>
  </si>
  <si>
    <t xml:space="preserve">GD2003-02-03a-100L-D.bak</t>
  </si>
  <si>
    <t xml:space="preserve">GD2003-02-04-100L-D.bak</t>
  </si>
  <si>
    <t xml:space="preserve">GD2003-02-04a-100L-D.bak</t>
  </si>
  <si>
    <t xml:space="preserve">GD2003-02-05-100L-D.bak</t>
  </si>
  <si>
    <r>
      <rPr>
        <sz val="9"/>
        <rFont val="맑은 고딕"/>
        <family val="0"/>
        <charset val="1"/>
      </rPr>
      <t xml:space="preserve">GD2005-04-04-00-</t>
    </r>
    <r>
      <rPr>
        <sz val="9"/>
        <rFont val="Noto Sans CJK SC"/>
        <family val="2"/>
      </rPr>
      <t xml:space="preserve">명판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</si>
  <si>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Noto Sans CJK SC"/>
        <family val="2"/>
      </rPr>
      <t xml:space="preserve">애니젠 </t>
    </r>
    <r>
      <rPr>
        <sz val="9"/>
        <rFont val="맑은 고딕"/>
        <family val="0"/>
        <charset val="1"/>
      </rPr>
      <t xml:space="preserve">100LT FILTER-200831.bak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</si>
  <si>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40L-1123-02.bak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</si>
  <si>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40L-1123-02A.bak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</si>
  <si>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40L-1123-02B.bak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</si>
  <si>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40L-1123-02C.bak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</si>
  <si>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40L-1123.bak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</si>
  <si>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40L-A.bak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</si>
  <si>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40L-B.bak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</si>
  <si>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40L-L.bak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</si>
  <si>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40L-M.bak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</si>
  <si>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40L-WL.bak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</si>
  <si>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</t>
    </r>
    <r>
      <rPr>
        <sz val="9"/>
        <rFont val="Noto Sans CJK SC"/>
        <family val="2"/>
      </rPr>
      <t xml:space="preserve">경판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</si>
  <si>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</t>
    </r>
    <r>
      <rPr>
        <sz val="9"/>
        <rFont val="Noto Sans CJK SC"/>
        <family val="2"/>
      </rPr>
      <t xml:space="preserve">다공판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</si>
  <si>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</t>
    </r>
    <r>
      <rPr>
        <sz val="9"/>
        <rFont val="Noto Sans CJK SC"/>
        <family val="2"/>
      </rPr>
      <t xml:space="preserve">투시창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</si>
  <si>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</t>
    </r>
    <r>
      <rPr>
        <sz val="9"/>
        <rFont val="Noto Sans CJK SC"/>
        <family val="2"/>
      </rPr>
      <t xml:space="preserve">투시창</t>
    </r>
    <r>
      <rPr>
        <sz val="9"/>
        <rFont val="맑은 고딕"/>
        <family val="0"/>
        <charset val="1"/>
      </rPr>
      <t xml:space="preserve">L.bak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</si>
  <si>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</t>
    </r>
    <r>
      <rPr>
        <sz val="9"/>
        <rFont val="Noto Sans CJK SC"/>
        <family val="2"/>
      </rPr>
      <t xml:space="preserve">투시창</t>
    </r>
    <r>
      <rPr>
        <sz val="9"/>
        <rFont val="맑은 고딕"/>
        <family val="0"/>
        <charset val="1"/>
      </rPr>
      <t xml:space="preserve">LT.bak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</si>
  <si>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40L.bak</t>
    </r>
  </si>
  <si>
    <r>
      <rPr>
        <sz val="9"/>
        <rFont val="맑은 고딕"/>
        <family val="0"/>
        <charset val="1"/>
      </rPr>
      <t xml:space="preserve">WE-MU-20-0079 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40Lt nutsche agitator filter-201015.bak</t>
    </r>
  </si>
  <si>
    <t xml:space="preserve">GD2003-07-00-L.bak</t>
  </si>
  <si>
    <t xml:space="preserve">GD2003-07-00-L1.bak</t>
  </si>
  <si>
    <t xml:space="preserve">GD2003-07-00-L2.bak</t>
  </si>
  <si>
    <t xml:space="preserve">GD2003-07-00-L3.bak</t>
  </si>
  <si>
    <t xml:space="preserve">GD2003-07-00-L4.bak</t>
  </si>
  <si>
    <t xml:space="preserve">GD2003-07-00.bak</t>
  </si>
  <si>
    <r>
      <rPr>
        <sz val="9"/>
        <rFont val="Noto Sans CJK SC"/>
        <family val="2"/>
      </rPr>
      <t xml:space="preserve">드라이브 유니트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툴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</si>
  <si>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맑은 고딕"/>
        <family val="0"/>
        <charset val="1"/>
      </rPr>
      <t xml:space="preserve">GD2003-06-00A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</si>
  <si>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맑은 고딕"/>
        <family val="0"/>
        <charset val="1"/>
      </rPr>
      <t xml:space="preserve">GD2003-06-00B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</si>
  <si>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맑은 고딕"/>
        <family val="0"/>
        <charset val="1"/>
      </rPr>
      <t xml:space="preserve">GD2003-06-00C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</si>
  <si>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맑은 고딕"/>
        <family val="0"/>
        <charset val="1"/>
      </rPr>
      <t xml:space="preserve">GD2003-06-01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</si>
  <si>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맑은 고딕"/>
        <family val="0"/>
        <charset val="1"/>
      </rPr>
      <t xml:space="preserve">GD2003-06-02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</si>
  <si>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맑은 고딕"/>
        <family val="0"/>
        <charset val="1"/>
      </rPr>
      <t xml:space="preserve">GD2003-06-02a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.bak</t>
    </r>
  </si>
  <si>
    <t xml:space="preserve">SPOON.bak</t>
  </si>
  <si>
    <r>
      <rPr>
        <sz val="9"/>
        <rFont val="Noto Sans CJK SC"/>
        <family val="2"/>
      </rPr>
      <t xml:space="preserve">종근당 건강 부속 레이저</t>
    </r>
    <r>
      <rPr>
        <sz val="9"/>
        <rFont val="맑은 고딕"/>
        <family val="0"/>
        <charset val="1"/>
      </rPr>
      <t xml:space="preserve">.bak</t>
    </r>
  </si>
  <si>
    <t xml:space="preserve">GD2005-04-01-00B.bak</t>
  </si>
  <si>
    <t xml:space="preserve">GD2005-04-01-01A.bak</t>
  </si>
  <si>
    <t xml:space="preserve">GD2005-04-02-00-FRAME COVER.bak</t>
  </si>
  <si>
    <t xml:space="preserve">GD2005-04-02-00-FRAME LASER.bak</t>
  </si>
  <si>
    <t xml:space="preserve">GD2005-04-02-00-FRAME LASER2.bak</t>
  </si>
  <si>
    <r>
      <rPr>
        <sz val="9"/>
        <rFont val="맑은 고딕"/>
        <family val="0"/>
        <charset val="1"/>
      </rPr>
      <t xml:space="preserve">GD2005-04-02-00-</t>
    </r>
    <r>
      <rPr>
        <sz val="9"/>
        <rFont val="Noto Sans CJK SC"/>
        <family val="2"/>
      </rPr>
      <t xml:space="preserve">상부커버 </t>
    </r>
    <r>
      <rPr>
        <sz val="9"/>
        <rFont val="맑은 고딕"/>
        <family val="0"/>
        <charset val="1"/>
      </rPr>
      <t xml:space="preserve">LASER.bak</t>
    </r>
  </si>
  <si>
    <r>
      <rPr>
        <sz val="9"/>
        <rFont val="맑은 고딕"/>
        <family val="0"/>
        <charset val="1"/>
      </rPr>
      <t xml:space="preserve">GD2005-04-02-00-</t>
    </r>
    <r>
      <rPr>
        <sz val="9"/>
        <rFont val="Noto Sans CJK SC"/>
        <family val="2"/>
      </rPr>
      <t xml:space="preserve">상부커버 </t>
    </r>
    <r>
      <rPr>
        <sz val="9"/>
        <rFont val="맑은 고딕"/>
        <family val="0"/>
        <charset val="1"/>
      </rPr>
      <t xml:space="preserve">LASER1.bak</t>
    </r>
  </si>
  <si>
    <r>
      <rPr>
        <sz val="9"/>
        <rFont val="맑은 고딕"/>
        <family val="0"/>
        <charset val="1"/>
      </rPr>
      <t xml:space="preserve">GD2005-04-02-00-</t>
    </r>
    <r>
      <rPr>
        <sz val="9"/>
        <rFont val="Noto Sans CJK SC"/>
        <family val="2"/>
      </rPr>
      <t xml:space="preserve">상부커버 레이저</t>
    </r>
    <r>
      <rPr>
        <sz val="9"/>
        <rFont val="맑은 고딕"/>
        <family val="0"/>
        <charset val="1"/>
      </rPr>
      <t xml:space="preserve">2.bak</t>
    </r>
  </si>
  <si>
    <r>
      <rPr>
        <sz val="9"/>
        <rFont val="맑은 고딕"/>
        <family val="0"/>
        <charset val="1"/>
      </rPr>
      <t xml:space="preserve">GD2005-04-02-00-</t>
    </r>
    <r>
      <rPr>
        <sz val="9"/>
        <rFont val="Noto Sans CJK SC"/>
        <family val="2"/>
      </rPr>
      <t xml:space="preserve">상부커버 지지대</t>
    </r>
    <r>
      <rPr>
        <sz val="9"/>
        <rFont val="맑은 고딕"/>
        <family val="0"/>
        <charset val="1"/>
      </rPr>
      <t xml:space="preserve">.bak</t>
    </r>
  </si>
  <si>
    <t xml:space="preserve">GD2005-04-02-02-V-BELT PULLEY cover 2.bak</t>
  </si>
  <si>
    <t xml:space="preserve">GD2005-04-03-00-LOWER DAMPER 1.bak</t>
  </si>
  <si>
    <t xml:space="preserve">GD2005-04-03-00-LOWER DAMPER 2.bak</t>
  </si>
  <si>
    <t xml:space="preserve">GD2005-04-03-00-LOWER DAMPER 3.bak</t>
  </si>
  <si>
    <t xml:space="preserve">GD2005-04-03-00-LOWER DAMPER 4.bak</t>
  </si>
  <si>
    <r>
      <rPr>
        <sz val="9"/>
        <rFont val="맑은 고딕"/>
        <family val="0"/>
        <charset val="1"/>
      </rPr>
      <t xml:space="preserve">GD2005-04-03-00-</t>
    </r>
    <r>
      <rPr>
        <sz val="9"/>
        <rFont val="Noto Sans CJK SC"/>
        <family val="2"/>
      </rPr>
      <t xml:space="preserve">하부댐퍼 </t>
    </r>
    <r>
      <rPr>
        <sz val="9"/>
        <rFont val="맑은 고딕"/>
        <family val="0"/>
        <charset val="1"/>
      </rPr>
      <t xml:space="preserve">PLATE.bak</t>
    </r>
  </si>
  <si>
    <r>
      <rPr>
        <sz val="9"/>
        <rFont val="맑은 고딕"/>
        <family val="0"/>
        <charset val="1"/>
      </rPr>
      <t xml:space="preserve">GD2005-04-03-00-</t>
    </r>
    <r>
      <rPr>
        <sz val="9"/>
        <rFont val="Noto Sans CJK SC"/>
        <family val="2"/>
      </rPr>
      <t xml:space="preserve">하부댐퍼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</si>
  <si>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맑은 고딕"/>
        <family val="0"/>
        <charset val="1"/>
      </rPr>
      <t xml:space="preserve">GD2005-04-03-00-</t>
    </r>
    <r>
      <rPr>
        <sz val="9"/>
        <rFont val="Noto Sans CJK SC"/>
        <family val="2"/>
      </rPr>
      <t xml:space="preserve">하부댐퍼</t>
    </r>
    <r>
      <rPr>
        <sz val="9"/>
        <rFont val="맑은 고딕"/>
        <family val="0"/>
        <charset val="1"/>
      </rPr>
      <t xml:space="preserve">A.bak</t>
    </r>
  </si>
  <si>
    <t xml:space="preserve">GD2005-04-03-01-LOWER DAMPER.bak</t>
  </si>
  <si>
    <t xml:space="preserve">GD2005-04-03-02-LOWER DAMPER.bak</t>
  </si>
  <si>
    <r>
      <rPr>
        <sz val="9"/>
        <rFont val="맑은 고딕"/>
        <family val="0"/>
        <charset val="1"/>
      </rPr>
      <t xml:space="preserve">GD2005-04-04-00-</t>
    </r>
    <r>
      <rPr>
        <sz val="9"/>
        <rFont val="Noto Sans CJK SC"/>
        <family val="2"/>
      </rPr>
      <t xml:space="preserve">상부 도어 힌지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</si>
  <si>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맑은 고딕"/>
        <family val="0"/>
        <charset val="1"/>
      </rPr>
      <t xml:space="preserve">GD2005-04-04-00-</t>
    </r>
    <r>
      <rPr>
        <sz val="9"/>
        <rFont val="Noto Sans CJK SC"/>
        <family val="2"/>
      </rPr>
      <t xml:space="preserve">상부 도어 힌지판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</si>
  <si>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맑은 고딕"/>
        <family val="0"/>
        <charset val="1"/>
      </rPr>
      <t xml:space="preserve">HSM-010-</t>
    </r>
    <r>
      <rPr>
        <sz val="9"/>
        <rFont val="Noto Sans CJK SC"/>
        <family val="2"/>
      </rPr>
      <t xml:space="preserve">리본형 진공건조기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지에스프랜텍</t>
    </r>
    <r>
      <rPr>
        <sz val="9"/>
        <rFont val="맑은 고딕"/>
        <family val="0"/>
        <charset val="1"/>
      </rPr>
      <t xml:space="preserve">-200128.bak</t>
    </r>
  </si>
  <si>
    <r>
      <rPr>
        <sz val="9"/>
        <rFont val="맑은 고딕"/>
        <family val="0"/>
        <charset val="1"/>
      </rPr>
      <t xml:space="preserve">HSM-010-</t>
    </r>
    <r>
      <rPr>
        <sz val="9"/>
        <rFont val="Noto Sans CJK SC"/>
        <family val="2"/>
      </rPr>
      <t xml:space="preserve">리본형 진공건조기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지에스프랜텍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</si>
  <si>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맑은 고딕"/>
        <family val="0"/>
        <charset val="1"/>
      </rPr>
      <t xml:space="preserve">KK2001-03-00 </t>
    </r>
    <r>
      <rPr>
        <sz val="9"/>
        <rFont val="Noto Sans CJK SC"/>
        <family val="2"/>
      </rPr>
      <t xml:space="preserve">리본혼합기</t>
    </r>
    <r>
      <rPr>
        <sz val="9"/>
        <rFont val="맑은 고딕"/>
        <family val="0"/>
        <charset val="1"/>
      </rPr>
      <t xml:space="preserve">(200108).bak</t>
    </r>
  </si>
  <si>
    <r>
      <rPr>
        <sz val="9"/>
        <rFont val="Noto Sans CJK SC"/>
        <family val="2"/>
      </rPr>
      <t xml:space="preserve">리본 믹서 </t>
    </r>
    <r>
      <rPr>
        <sz val="9"/>
        <rFont val="맑은 고딕"/>
        <family val="0"/>
        <charset val="1"/>
      </rPr>
      <t xml:space="preserve">(3.1m3) </t>
    </r>
    <r>
      <rPr>
        <sz val="9"/>
        <rFont val="Noto Sans CJK SC"/>
        <family val="2"/>
      </rPr>
      <t xml:space="preserve">도면 </t>
    </r>
    <r>
      <rPr>
        <sz val="9"/>
        <rFont val="맑은 고딕"/>
        <family val="0"/>
        <charset val="1"/>
      </rPr>
      <t xml:space="preserve">(20170905).bak</t>
    </r>
  </si>
  <si>
    <t xml:space="preserve">GD2007-01 LASER 1.bak</t>
  </si>
  <si>
    <t xml:space="preserve">GD2007-01 LASER.bak</t>
  </si>
  <si>
    <r>
      <rPr>
        <sz val="9"/>
        <rFont val="맑은 고딕"/>
        <family val="0"/>
        <charset val="1"/>
      </rPr>
      <t xml:space="preserve">GD2007-01 </t>
    </r>
    <r>
      <rPr>
        <sz val="9"/>
        <rFont val="Noto Sans CJK SC"/>
        <family val="2"/>
      </rPr>
      <t xml:space="preserve">압력용기 </t>
    </r>
    <r>
      <rPr>
        <sz val="9"/>
        <rFont val="맑은 고딕"/>
        <family val="0"/>
        <charset val="1"/>
      </rPr>
      <t xml:space="preserve">70L.bak</t>
    </r>
  </si>
  <si>
    <r>
      <rPr>
        <sz val="9"/>
        <rFont val="맑은 고딕"/>
        <family val="0"/>
        <charset val="1"/>
      </rPr>
      <t xml:space="preserve">GD2007-01 </t>
    </r>
    <r>
      <rPr>
        <sz val="9"/>
        <rFont val="Noto Sans CJK SC"/>
        <family val="2"/>
      </rPr>
      <t xml:space="preserve">압력용기 </t>
    </r>
    <r>
      <rPr>
        <sz val="9"/>
        <rFont val="맑은 고딕"/>
        <family val="0"/>
        <charset val="1"/>
      </rPr>
      <t xml:space="preserve">a.bak</t>
    </r>
  </si>
  <si>
    <r>
      <rPr>
        <sz val="9"/>
        <rFont val="맑은 고딕"/>
        <family val="0"/>
        <charset val="1"/>
      </rPr>
      <t xml:space="preserve">GD2007-01 </t>
    </r>
    <r>
      <rPr>
        <sz val="9"/>
        <rFont val="Noto Sans CJK SC"/>
        <family val="2"/>
      </rPr>
      <t xml:space="preserve">압력용기 </t>
    </r>
    <r>
      <rPr>
        <sz val="9"/>
        <rFont val="맑은 고딕"/>
        <family val="0"/>
        <charset val="1"/>
      </rPr>
      <t xml:space="preserve">70L-</t>
    </r>
    <r>
      <rPr>
        <sz val="9"/>
        <rFont val="Noto Sans CJK SC"/>
        <family val="2"/>
      </rPr>
      <t xml:space="preserve">추가</t>
    </r>
    <r>
      <rPr>
        <sz val="9"/>
        <rFont val="맑은 고딕"/>
        <family val="0"/>
        <charset val="1"/>
      </rPr>
      <t xml:space="preserve">.bak</t>
    </r>
  </si>
  <si>
    <t xml:space="preserve">PACKING.bak</t>
  </si>
  <si>
    <t xml:space="preserve">M145- clamp type-2018.11.07.bak</t>
  </si>
  <si>
    <t xml:space="preserve">2018-11-07</t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</si>
  <si>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부품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</si>
  <si>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</si>
  <si>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B-201027.bak</t>
    </r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</si>
  <si>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B-201027B.bak</t>
    </r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</si>
  <si>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B-201207.bak</t>
    </r>
  </si>
  <si>
    <t xml:space="preserve">ESS-SP-01-7-R1-category-2.bak</t>
  </si>
  <si>
    <t xml:space="preserve">NF2-1610-SPIN-PACK-01.bak</t>
  </si>
  <si>
    <t xml:space="preserve">NF2-1610-SPIN-PACK-02.bak</t>
  </si>
  <si>
    <t xml:space="preserve">NF2-1610-SPIN-PACK-4.bak</t>
  </si>
  <si>
    <t xml:space="preserve">NF2-1610-SPIN-PACK-SEAL-SILICON.bak</t>
  </si>
  <si>
    <t xml:space="preserve">NF2-1610-SPIN-PACK-SEAL-TEFRON.bak</t>
  </si>
  <si>
    <t xml:space="preserve">NF2-1610-SPIN-PACK.bak</t>
  </si>
  <si>
    <t xml:space="preserve">NOZZLE.bak</t>
  </si>
  <si>
    <t xml:space="preserve">NF2-1610-SPIN-PACK-03.bak</t>
  </si>
  <si>
    <t xml:space="preserve">NF2-1610-SPIN-PACK-05.bak</t>
  </si>
  <si>
    <t xml:space="preserve">NF2-1610-SPIN-PACK-06.bak</t>
  </si>
  <si>
    <t xml:space="preserve">NF2-1610-SPIN-PACK-06A.bak</t>
  </si>
  <si>
    <t xml:space="preserve">NF2-1610-SPIN-PACK-07.bak</t>
  </si>
  <si>
    <t xml:space="preserve">dwg.log</t>
  </si>
  <si>
    <t xml:space="preserve">.log</t>
  </si>
  <si>
    <t xml:space="preserve">Thumbs.db</t>
  </si>
  <si>
    <t xml:space="preserve">.db</t>
  </si>
  <si>
    <t xml:space="preserve">2012-03-29</t>
  </si>
  <si>
    <t xml:space="preserve">security_20161019.html</t>
  </si>
  <si>
    <t xml:space="preserve">.html</t>
  </si>
  <si>
    <t xml:space="preserve">GD160805-00-01-LASER4.aaf</t>
  </si>
  <si>
    <t xml:space="preserve">.aaf</t>
  </si>
  <si>
    <t xml:space="preserve">sav67D.tmp</t>
  </si>
  <si>
    <t xml:space="preserve">.tmp</t>
  </si>
  <si>
    <r>
      <rPr>
        <sz val="9"/>
        <rFont val="맑은 고딕"/>
        <family val="0"/>
        <charset val="1"/>
      </rPr>
      <t xml:space="preserve">18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/GD1802-</t>
    </r>
    <r>
      <rPr>
        <sz val="9"/>
        <rFont val="Noto Sans CJK SC"/>
        <family val="2"/>
      </rPr>
      <t xml:space="preserve">웰이엔씨</t>
    </r>
    <r>
      <rPr>
        <sz val="9"/>
        <rFont val="맑은 고딕"/>
        <family val="0"/>
        <charset val="1"/>
      </rPr>
      <t xml:space="preserve">/GD1802-01-</t>
    </r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부품</t>
    </r>
    <r>
      <rPr>
        <sz val="9"/>
        <rFont val="맑은 고딕"/>
        <family val="0"/>
        <charset val="1"/>
      </rPr>
      <t xml:space="preserve">6/Fonts</t>
    </r>
  </si>
  <si>
    <t xml:space="preserve">ltypeshp.shx</t>
  </si>
  <si>
    <t xml:space="preserve">.shx</t>
  </si>
  <si>
    <t xml:space="preserve">2005-07-06</t>
  </si>
  <si>
    <t xml:space="preserve">txt.shx</t>
  </si>
  <si>
    <t xml:space="preserve">2000-03-18</t>
  </si>
  <si>
    <t xml:space="preserve">plot.log</t>
  </si>
  <si>
    <t xml:space="preserve">2014-01-21</t>
  </si>
  <si>
    <t xml:space="preserve">SHEEL COVER LASER.aaf</t>
  </si>
  <si>
    <t xml:space="preserve">MFC11E1.tmp</t>
  </si>
  <si>
    <t xml:space="preserve">2021-12-17</t>
  </si>
  <si>
    <t xml:space="preserve">GD2003-02-02-100L-D.dwl</t>
  </si>
  <si>
    <t xml:space="preserve">.dwl</t>
  </si>
  <si>
    <t xml:space="preserve">GD2003-02-02-100L-D.dwl2</t>
  </si>
  <si>
    <t xml:space="preserve">.dwl2</t>
  </si>
  <si>
    <t xml:space="preserve">2020-09-25</t>
  </si>
  <si>
    <r>
      <rPr>
        <sz val="9"/>
        <rFont val="맑은 고딕"/>
        <family val="0"/>
        <charset val="1"/>
      </rPr>
      <t xml:space="preserve">GD2003-06-02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.aaf</t>
    </r>
  </si>
  <si>
    <r>
      <rPr>
        <sz val="9"/>
        <rFont val="맑은 고딕"/>
        <family val="0"/>
        <charset val="1"/>
      </rPr>
      <t xml:space="preserve">GD2005-04-04-00-</t>
    </r>
    <r>
      <rPr>
        <sz val="9"/>
        <rFont val="Noto Sans CJK SC"/>
        <family val="2"/>
      </rPr>
      <t xml:space="preserve">상부 도어 힌지</t>
    </r>
    <r>
      <rPr>
        <sz val="9"/>
        <rFont val="맑은 고딕"/>
        <family val="0"/>
        <charset val="1"/>
      </rPr>
      <t xml:space="preserve">.aaf</t>
    </r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</si>
  <si>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B-201027B.dwl</t>
    </r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</si>
  <si>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B-201027B.dwl2</t>
    </r>
  </si>
  <si>
    <t xml:space="preserve">ESS-SP-01-7-R1-category-3.dwl</t>
  </si>
  <si>
    <t xml:space="preserve">ESS-SP-01-7-R1-category-3.dwl2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</si>
</sst>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맑은 고딕"/>
      <family val="0"/>
      <charset val="1"/>
    </font>
    <font>
      <b val="true"/>
      <sz val="14"/>
      <color rgb="FF1F4E79"/>
      <name val="Noto Sans CJK SC"/>
      <family val="2"/>
    </font>
    <font>
      <sz val="8"/>
      <color rgb="FF808080"/>
      <name val="Noto Sans CJK SC"/>
      <family val="2"/>
    </font>
    <font>
      <sz val="8"/>
      <color rgb="FF808080"/>
      <name val="맑은 고딕"/>
      <family val="0"/>
      <charset val="1"/>
    </font>
    <font>
      <b val="true"/>
      <sz val="11"/>
      <color rgb="FF1F4E79"/>
      <name val="Noto Sans CJK SC"/>
      <family val="2"/>
    </font>
    <font>
      <b val="true"/>
      <sz val="10"/>
      <color rgb="FFFFFFFF"/>
      <name val="Noto Sans CJK SC"/>
      <family val="2"/>
    </font>
    <font>
      <sz val="9"/>
      <name val="Noto Sans CJK SC"/>
      <family val="2"/>
    </font>
    <font>
      <sz val="9"/>
      <name val="맑은 고딕"/>
      <family val="0"/>
      <charset val="1"/>
    </font>
    <font>
      <b val="true"/>
      <sz val="11"/>
      <color rgb="FF1F4E79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55A11"/>
        <bgColor rgb="FF993300"/>
      </patternFill>
    </fill>
    <fill>
      <patternFill patternType="solid">
        <fgColor rgb="FF7F7F7F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7F7F7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48"/>
  </cols>
  <sheetData>
    <row r="2" customFormat="false" ht="21.6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4" t="s">
        <v>4</v>
      </c>
      <c r="D6" s="4" t="s">
        <v>5</v>
      </c>
    </row>
    <row r="7" customFormat="false" ht="15" hidden="false" customHeight="false" outlineLevel="0" collapsed="false">
      <c r="B7" s="5" t="s">
        <v>6</v>
      </c>
      <c r="C7" s="5" t="n">
        <f aca="false">COUNTA(활용CAD!$A:$A)-1</f>
        <v>413</v>
      </c>
      <c r="D7" s="5" t="s">
        <v>7</v>
      </c>
    </row>
    <row r="8" customFormat="false" ht="15" hidden="false" customHeight="false" outlineLevel="0" collapsed="false">
      <c r="B8" s="5" t="s">
        <v>8</v>
      </c>
      <c r="C8" s="5" t="n">
        <f aca="false">COUNTA('조건부CAD(CADian)'!$A:$A)-1</f>
        <v>320</v>
      </c>
      <c r="D8" s="6" t="s">
        <v>9</v>
      </c>
    </row>
    <row r="9" customFormat="false" ht="15" hidden="false" customHeight="false" outlineLevel="0" collapsed="false">
      <c r="B9" s="5" t="s">
        <v>10</v>
      </c>
      <c r="C9" s="5" t="n">
        <f aca="false">COUNTA(제외·비CAD!$A:$A)-1</f>
        <v>777</v>
      </c>
      <c r="D9" s="5" t="s">
        <v>11</v>
      </c>
    </row>
    <row r="10" customFormat="false" ht="15" hidden="false" customHeight="false" outlineLevel="0" collapsed="false">
      <c r="B10" s="5" t="s">
        <v>12</v>
      </c>
      <c r="C10" s="5" t="n">
        <f aca="false">C7+C8+C9</f>
        <v>1510</v>
      </c>
      <c r="D10" s="5"/>
    </row>
    <row r="12" customFormat="false" ht="17.15" hidden="false" customHeight="false" outlineLevel="0" collapsed="false">
      <c r="B12" s="3" t="s">
        <v>13</v>
      </c>
    </row>
    <row r="13" customFormat="false" ht="15" hidden="false" customHeight="false" outlineLevel="0" collapsed="false">
      <c r="B13" s="4" t="s">
        <v>14</v>
      </c>
      <c r="C13" s="4" t="s">
        <v>15</v>
      </c>
      <c r="D13" s="4" t="s">
        <v>16</v>
      </c>
    </row>
    <row r="14" customFormat="false" ht="15" hidden="false" customHeight="false" outlineLevel="0" collapsed="false">
      <c r="B14" s="5" t="s">
        <v>17</v>
      </c>
      <c r="C14" s="5" t="n">
        <f aca="false">COUNTIF(활용CAD!$A:$A,"교반부품")</f>
        <v>8</v>
      </c>
      <c r="D14" s="5" t="n">
        <f aca="false">COUNTIF('조건부CAD(CADian)'!$A:$A,"교반부품")</f>
        <v>9</v>
      </c>
    </row>
    <row r="15" customFormat="false" ht="15" hidden="false" customHeight="false" outlineLevel="0" collapsed="false">
      <c r="B15" s="5" t="s">
        <v>18</v>
      </c>
      <c r="C15" s="5" t="n">
        <f aca="false">COUNTIF(활용CAD!$A:$A,"기타/미분류")</f>
        <v>51</v>
      </c>
      <c r="D15" s="5" t="n">
        <f aca="false">COUNTIF('조건부CAD(CADian)'!$A:$A,"기타/미분류")</f>
        <v>36</v>
      </c>
    </row>
    <row r="16" customFormat="false" ht="15" hidden="false" customHeight="false" outlineLevel="0" collapsed="false">
      <c r="B16" s="5" t="s">
        <v>19</v>
      </c>
      <c r="C16" s="5" t="n">
        <f aca="false">COUNTIF(활용CAD!$A:$A,"누체필터")</f>
        <v>67</v>
      </c>
      <c r="D16" s="5" t="n">
        <f aca="false">COUNTIF('조건부CAD(CADian)'!$A:$A,"누체필터")</f>
        <v>57</v>
      </c>
    </row>
    <row r="17" customFormat="false" ht="15" hidden="false" customHeight="false" outlineLevel="0" collapsed="false">
      <c r="B17" s="5" t="s">
        <v>20</v>
      </c>
      <c r="C17" s="5" t="n">
        <f aca="false">COUNTIF(활용CAD!$A:$A,"리시버탱크")</f>
        <v>18</v>
      </c>
      <c r="D17" s="5" t="n">
        <f aca="false">COUNTIF('조건부CAD(CADian)'!$A:$A,"리시버탱크")</f>
        <v>19</v>
      </c>
    </row>
    <row r="18" customFormat="false" ht="15" hidden="false" customHeight="false" outlineLevel="0" collapsed="false">
      <c r="B18" s="5" t="s">
        <v>21</v>
      </c>
      <c r="C18" s="5" t="n">
        <f aca="false">COUNTIF(활용CAD!$A:$A,"믹서")</f>
        <v>29</v>
      </c>
      <c r="D18" s="5" t="n">
        <f aca="false">COUNTIF('조건부CAD(CADian)'!$A:$A,"믹서")</f>
        <v>27</v>
      </c>
    </row>
    <row r="19" customFormat="false" ht="15" hidden="false" customHeight="false" outlineLevel="0" collapsed="false">
      <c r="B19" s="5" t="s">
        <v>22</v>
      </c>
      <c r="C19" s="5" t="n">
        <f aca="false">COUNTIF(활용CAD!$A:$A,"반응기")</f>
        <v>33</v>
      </c>
      <c r="D19" s="5" t="n">
        <f aca="false">COUNTIF('조건부CAD(CADian)'!$A:$A,"반응기")</f>
        <v>25</v>
      </c>
    </row>
    <row r="20" customFormat="false" ht="15" hidden="false" customHeight="false" outlineLevel="0" collapsed="false">
      <c r="B20" s="5" t="s">
        <v>23</v>
      </c>
      <c r="C20" s="5" t="n">
        <f aca="false">COUNTIF(활용CAD!$A:$A,"범용부품")</f>
        <v>13</v>
      </c>
      <c r="D20" s="5" t="n">
        <f aca="false">COUNTIF('조건부CAD(CADian)'!$A:$A,"범용부품")</f>
        <v>7</v>
      </c>
    </row>
    <row r="21" customFormat="false" ht="15" hidden="false" customHeight="false" outlineLevel="0" collapsed="false">
      <c r="B21" s="5" t="s">
        <v>24</v>
      </c>
      <c r="C21" s="5" t="n">
        <f aca="false">COUNTIF(활용CAD!$A:$A,"베셀(용기)")</f>
        <v>37</v>
      </c>
      <c r="D21" s="5" t="n">
        <f aca="false">COUNTIF('조건부CAD(CADian)'!$A:$A,"베셀(용기)")</f>
        <v>35</v>
      </c>
    </row>
    <row r="22" customFormat="false" ht="15" hidden="false" customHeight="false" outlineLevel="0" collapsed="false">
      <c r="B22" s="5" t="s">
        <v>25</v>
      </c>
      <c r="C22" s="5" t="n">
        <f aca="false">COUNTIF(활용CAD!$A:$A,"저장탱크")</f>
        <v>57</v>
      </c>
      <c r="D22" s="5" t="n">
        <f aca="false">COUNTIF('조건부CAD(CADian)'!$A:$A,"저장탱크")</f>
        <v>23</v>
      </c>
    </row>
    <row r="23" customFormat="false" ht="15" hidden="false" customHeight="false" outlineLevel="0" collapsed="false">
      <c r="B23" s="5" t="s">
        <v>26</v>
      </c>
      <c r="C23" s="5" t="n">
        <f aca="false">COUNTIF(활용CAD!$A:$A,"진공건조기")</f>
        <v>93</v>
      </c>
      <c r="D23" s="5" t="n">
        <f aca="false">COUNTIF('조건부CAD(CADian)'!$A:$A,"진공건조기")</f>
        <v>72</v>
      </c>
    </row>
    <row r="24" customFormat="false" ht="15" hidden="false" customHeight="false" outlineLevel="0" collapsed="false">
      <c r="B24" s="5" t="s">
        <v>27</v>
      </c>
      <c r="C24" s="5" t="n">
        <f aca="false">COUNTIF(활용CAD!$A:$A,"탱크(기타)")</f>
        <v>7</v>
      </c>
      <c r="D24" s="5" t="n">
        <f aca="false">COUNTIF('조건부CAD(CADian)'!$A:$A,"탱크(기타)")</f>
        <v>10</v>
      </c>
    </row>
    <row r="25" customFormat="false" ht="15" hidden="false" customHeight="false" outlineLevel="0" collapsed="false">
      <c r="B25" s="2" t="s">
        <v>28</v>
      </c>
    </row>
    <row r="27" customFormat="false" ht="17.15" hidden="false" customHeight="false" outlineLevel="0" collapsed="false">
      <c r="B27" s="3" t="s">
        <v>29</v>
      </c>
    </row>
    <row r="28" customFormat="false" ht="15" hidden="false" customHeight="false" outlineLevel="0" collapsed="false">
      <c r="B28" s="4" t="s">
        <v>3</v>
      </c>
      <c r="C28" s="4" t="s">
        <v>4</v>
      </c>
    </row>
    <row r="29" customFormat="false" ht="15" hidden="false" customHeight="false" outlineLevel="0" collapsed="false">
      <c r="B29" s="5" t="s">
        <v>30</v>
      </c>
      <c r="C29" s="5" t="n">
        <f aca="false">COUNTIF(제외·비CAD!$A:$A,"기타-내부압축(해제 필요)")</f>
        <v>10</v>
      </c>
    </row>
    <row r="30" customFormat="false" ht="15" hidden="false" customHeight="false" outlineLevel="0" collapsed="false">
      <c r="B30" s="5" t="s">
        <v>31</v>
      </c>
      <c r="C30" s="5" t="n">
        <f aca="false">COUNTIF(제외·비CAD!$A:$A,"비CAD-PDF문서")</f>
        <v>172</v>
      </c>
    </row>
    <row r="31" customFormat="false" ht="15" hidden="false" customHeight="false" outlineLevel="0" collapsed="false">
      <c r="B31" s="5" t="s">
        <v>32</v>
      </c>
      <c r="C31" s="5" t="n">
        <f aca="false">COUNTIF(제외·비CAD!$A:$A,"비CAD-문서(엑셀/워드 등)")</f>
        <v>15</v>
      </c>
    </row>
    <row r="32" customFormat="false" ht="15" hidden="false" customHeight="false" outlineLevel="0" collapsed="false">
      <c r="B32" s="5" t="s">
        <v>33</v>
      </c>
      <c r="C32" s="5" t="n">
        <f aca="false">COUNTIF(제외·비CAD!$A:$A,"비CAD-이미지/사진")</f>
        <v>281</v>
      </c>
    </row>
    <row r="33" customFormat="false" ht="15" hidden="false" customHeight="false" outlineLevel="0" collapsed="false">
      <c r="B33" s="5" t="s">
        <v>34</v>
      </c>
      <c r="C33" s="5" t="n">
        <f aca="false">COUNTIF(제외·비CAD!$A:$A,"제외-백업(.bak)")</f>
        <v>245</v>
      </c>
    </row>
    <row r="34" customFormat="false" ht="15" hidden="false" customHeight="false" outlineLevel="0" collapsed="false">
      <c r="B34" s="5" t="s">
        <v>35</v>
      </c>
      <c r="C34" s="5" t="n">
        <f aca="false">COUNTIF(제외·비CAD!$A:$A,"제외-시스템/임시")</f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50"/>
    <col collapsed="false" customWidth="true" hidden="false" outlineLevel="0" max="4" min="4" style="0" width="38"/>
    <col collapsed="false" customWidth="true" hidden="false" outlineLevel="0" max="5" min="5" style="0" width="8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7" t="s">
        <v>14</v>
      </c>
      <c r="B1" s="7" t="s">
        <v>36</v>
      </c>
      <c r="C1" s="7" t="s">
        <v>37</v>
      </c>
      <c r="D1" s="7" t="s">
        <v>38</v>
      </c>
      <c r="E1" s="7" t="s">
        <v>39</v>
      </c>
      <c r="F1" s="8" t="s">
        <v>40</v>
      </c>
      <c r="G1" s="7" t="s">
        <v>41</v>
      </c>
      <c r="H1" s="7" t="s">
        <v>42</v>
      </c>
      <c r="I1" s="7" t="s">
        <v>43</v>
      </c>
    </row>
    <row r="2" customFormat="false" ht="15" hidden="false" customHeight="false" outlineLevel="0" collapsed="false">
      <c r="A2" s="9" t="s">
        <v>17</v>
      </c>
      <c r="B2" s="10" t="s">
        <v>44</v>
      </c>
      <c r="C2" s="10" t="s">
        <v>45</v>
      </c>
      <c r="D2" s="10" t="s">
        <v>46</v>
      </c>
      <c r="E2" s="10" t="s">
        <v>47</v>
      </c>
      <c r="F2" s="10" t="s">
        <v>48</v>
      </c>
      <c r="G2" s="9" t="n">
        <v>112.8</v>
      </c>
      <c r="H2" s="10" t="s">
        <v>49</v>
      </c>
      <c r="I2" s="9"/>
    </row>
    <row r="3" customFormat="false" ht="15" hidden="false" customHeight="false" outlineLevel="0" collapsed="false">
      <c r="A3" s="9" t="s">
        <v>17</v>
      </c>
      <c r="B3" s="10" t="s">
        <v>44</v>
      </c>
      <c r="C3" s="10" t="s">
        <v>50</v>
      </c>
      <c r="D3" s="10" t="s">
        <v>51</v>
      </c>
      <c r="E3" s="10" t="s">
        <v>47</v>
      </c>
      <c r="F3" s="10" t="s">
        <v>48</v>
      </c>
      <c r="G3" s="9" t="n">
        <v>567.2</v>
      </c>
      <c r="H3" s="10" t="s">
        <v>52</v>
      </c>
      <c r="I3" s="9"/>
    </row>
    <row r="4" customFormat="false" ht="15" hidden="false" customHeight="false" outlineLevel="0" collapsed="false">
      <c r="A4" s="9" t="s">
        <v>17</v>
      </c>
      <c r="B4" s="10" t="s">
        <v>44</v>
      </c>
      <c r="C4" s="10" t="s">
        <v>50</v>
      </c>
      <c r="D4" s="10" t="s">
        <v>53</v>
      </c>
      <c r="E4" s="10" t="s">
        <v>47</v>
      </c>
      <c r="F4" s="10" t="s">
        <v>48</v>
      </c>
      <c r="G4" s="9" t="n">
        <v>131.6</v>
      </c>
      <c r="H4" s="10" t="s">
        <v>54</v>
      </c>
      <c r="I4" s="9"/>
    </row>
    <row r="5" customFormat="false" ht="15" hidden="false" customHeight="false" outlineLevel="0" collapsed="false">
      <c r="A5" s="9" t="s">
        <v>17</v>
      </c>
      <c r="B5" s="10" t="s">
        <v>44</v>
      </c>
      <c r="C5" s="10" t="s">
        <v>50</v>
      </c>
      <c r="D5" s="10" t="s">
        <v>55</v>
      </c>
      <c r="E5" s="10" t="s">
        <v>47</v>
      </c>
      <c r="F5" s="10" t="s">
        <v>48</v>
      </c>
      <c r="G5" s="9" t="n">
        <v>203.4</v>
      </c>
      <c r="H5" s="10" t="s">
        <v>56</v>
      </c>
      <c r="I5" s="9"/>
    </row>
    <row r="6" customFormat="false" ht="15" hidden="false" customHeight="false" outlineLevel="0" collapsed="false">
      <c r="A6" s="9" t="s">
        <v>17</v>
      </c>
      <c r="B6" s="10" t="s">
        <v>44</v>
      </c>
      <c r="C6" s="10" t="s">
        <v>50</v>
      </c>
      <c r="D6" s="10" t="s">
        <v>57</v>
      </c>
      <c r="E6" s="10" t="s">
        <v>47</v>
      </c>
      <c r="F6" s="10" t="s">
        <v>58</v>
      </c>
      <c r="G6" s="9" t="n">
        <v>1012.7</v>
      </c>
      <c r="H6" s="10" t="s">
        <v>59</v>
      </c>
      <c r="I6" s="9"/>
    </row>
    <row r="7" customFormat="false" ht="15" hidden="false" customHeight="false" outlineLevel="0" collapsed="false">
      <c r="A7" s="9" t="s">
        <v>17</v>
      </c>
      <c r="B7" s="10" t="s">
        <v>44</v>
      </c>
      <c r="C7" s="10" t="s">
        <v>50</v>
      </c>
      <c r="D7" s="10" t="s">
        <v>60</v>
      </c>
      <c r="E7" s="10" t="s">
        <v>47</v>
      </c>
      <c r="F7" s="10" t="s">
        <v>48</v>
      </c>
      <c r="G7" s="9" t="n">
        <v>117.2</v>
      </c>
      <c r="H7" s="10" t="s">
        <v>61</v>
      </c>
      <c r="I7" s="9"/>
    </row>
    <row r="8" customFormat="false" ht="15" hidden="false" customHeight="false" outlineLevel="0" collapsed="false">
      <c r="A8" s="9" t="s">
        <v>17</v>
      </c>
      <c r="B8" s="10" t="s">
        <v>44</v>
      </c>
      <c r="C8" s="10" t="s">
        <v>50</v>
      </c>
      <c r="D8" s="10" t="s">
        <v>62</v>
      </c>
      <c r="E8" s="10" t="s">
        <v>47</v>
      </c>
      <c r="F8" s="10" t="s">
        <v>58</v>
      </c>
      <c r="G8" s="9" t="n">
        <v>10.8</v>
      </c>
      <c r="H8" s="10" t="s">
        <v>59</v>
      </c>
      <c r="I8" s="9"/>
    </row>
    <row r="9" customFormat="false" ht="15" hidden="false" customHeight="false" outlineLevel="0" collapsed="false">
      <c r="A9" s="9" t="s">
        <v>17</v>
      </c>
      <c r="B9" s="10" t="s">
        <v>44</v>
      </c>
      <c r="C9" s="10" t="s">
        <v>50</v>
      </c>
      <c r="D9" s="10" t="s">
        <v>63</v>
      </c>
      <c r="E9" s="10" t="s">
        <v>47</v>
      </c>
      <c r="F9" s="10" t="s">
        <v>48</v>
      </c>
      <c r="G9" s="9" t="n">
        <v>120.1</v>
      </c>
      <c r="H9" s="10" t="s">
        <v>64</v>
      </c>
      <c r="I9" s="9"/>
    </row>
    <row r="10" customFormat="false" ht="15" hidden="false" customHeight="false" outlineLevel="0" collapsed="false">
      <c r="A10" s="9" t="s">
        <v>18</v>
      </c>
      <c r="B10" s="10" t="s">
        <v>65</v>
      </c>
      <c r="C10" s="10" t="s">
        <v>66</v>
      </c>
      <c r="D10" s="10" t="s">
        <v>67</v>
      </c>
      <c r="E10" s="10" t="s">
        <v>47</v>
      </c>
      <c r="F10" s="10" t="s">
        <v>48</v>
      </c>
      <c r="G10" s="9" t="n">
        <v>118.4</v>
      </c>
      <c r="H10" s="10" t="s">
        <v>68</v>
      </c>
      <c r="I10" s="9"/>
    </row>
    <row r="11" customFormat="false" ht="15" hidden="false" customHeight="false" outlineLevel="0" collapsed="false">
      <c r="A11" s="9" t="s">
        <v>18</v>
      </c>
      <c r="B11" s="10" t="s">
        <v>69</v>
      </c>
      <c r="C11" s="10" t="s">
        <v>70</v>
      </c>
      <c r="D11" s="10" t="s">
        <v>71</v>
      </c>
      <c r="E11" s="10" t="s">
        <v>47</v>
      </c>
      <c r="F11" s="10" t="s">
        <v>48</v>
      </c>
      <c r="G11" s="9" t="n">
        <v>1794.8</v>
      </c>
      <c r="H11" s="10" t="s">
        <v>72</v>
      </c>
      <c r="I11" s="9"/>
    </row>
    <row r="12" customFormat="false" ht="15" hidden="false" customHeight="false" outlineLevel="0" collapsed="false">
      <c r="A12" s="9" t="s">
        <v>18</v>
      </c>
      <c r="B12" s="10" t="s">
        <v>69</v>
      </c>
      <c r="C12" s="10" t="s">
        <v>70</v>
      </c>
      <c r="D12" s="10" t="s">
        <v>73</v>
      </c>
      <c r="E12" s="10" t="s">
        <v>47</v>
      </c>
      <c r="F12" s="10" t="s">
        <v>48</v>
      </c>
      <c r="G12" s="9" t="n">
        <v>119.6</v>
      </c>
      <c r="H12" s="10" t="s">
        <v>74</v>
      </c>
      <c r="I12" s="9"/>
    </row>
    <row r="13" customFormat="false" ht="15" hidden="false" customHeight="false" outlineLevel="0" collapsed="false">
      <c r="A13" s="9" t="s">
        <v>18</v>
      </c>
      <c r="B13" s="10" t="s">
        <v>69</v>
      </c>
      <c r="C13" s="10" t="s">
        <v>70</v>
      </c>
      <c r="D13" s="9" t="s">
        <v>75</v>
      </c>
      <c r="E13" s="10" t="s">
        <v>47</v>
      </c>
      <c r="F13" s="10" t="s">
        <v>48</v>
      </c>
      <c r="G13" s="9" t="n">
        <v>2001.7</v>
      </c>
      <c r="H13" s="10" t="s">
        <v>76</v>
      </c>
      <c r="I13" s="9"/>
    </row>
    <row r="14" customFormat="false" ht="15" hidden="false" customHeight="false" outlineLevel="0" collapsed="false">
      <c r="A14" s="9" t="s">
        <v>18</v>
      </c>
      <c r="B14" s="10" t="s">
        <v>69</v>
      </c>
      <c r="C14" s="10" t="s">
        <v>70</v>
      </c>
      <c r="D14" s="9" t="s">
        <v>77</v>
      </c>
      <c r="E14" s="10" t="s">
        <v>47</v>
      </c>
      <c r="F14" s="10" t="s">
        <v>48</v>
      </c>
      <c r="G14" s="9" t="n">
        <v>7004.5</v>
      </c>
      <c r="H14" s="10" t="s">
        <v>76</v>
      </c>
      <c r="I14" s="9"/>
    </row>
    <row r="15" customFormat="false" ht="15" hidden="false" customHeight="false" outlineLevel="0" collapsed="false">
      <c r="A15" s="9" t="s">
        <v>18</v>
      </c>
      <c r="B15" s="10" t="s">
        <v>78</v>
      </c>
      <c r="C15" s="10" t="s">
        <v>79</v>
      </c>
      <c r="D15" s="10" t="s">
        <v>80</v>
      </c>
      <c r="E15" s="10" t="s">
        <v>47</v>
      </c>
      <c r="F15" s="10" t="s">
        <v>48</v>
      </c>
      <c r="G15" s="9" t="n">
        <v>433.6</v>
      </c>
      <c r="H15" s="10" t="s">
        <v>81</v>
      </c>
      <c r="I15" s="9"/>
    </row>
    <row r="16" customFormat="false" ht="15" hidden="false" customHeight="false" outlineLevel="0" collapsed="false">
      <c r="A16" s="9" t="s">
        <v>18</v>
      </c>
      <c r="B16" s="10" t="s">
        <v>78</v>
      </c>
      <c r="C16" s="10" t="s">
        <v>79</v>
      </c>
      <c r="D16" s="9" t="s">
        <v>82</v>
      </c>
      <c r="E16" s="10" t="s">
        <v>47</v>
      </c>
      <c r="F16" s="10" t="s">
        <v>48</v>
      </c>
      <c r="G16" s="9" t="n">
        <v>2314.8</v>
      </c>
      <c r="H16" s="10" t="s">
        <v>83</v>
      </c>
      <c r="I16" s="9"/>
    </row>
    <row r="17" customFormat="false" ht="15" hidden="false" customHeight="false" outlineLevel="0" collapsed="false">
      <c r="A17" s="9" t="s">
        <v>18</v>
      </c>
      <c r="B17" s="10" t="s">
        <v>78</v>
      </c>
      <c r="C17" s="10" t="s">
        <v>79</v>
      </c>
      <c r="D17" s="9" t="s">
        <v>84</v>
      </c>
      <c r="E17" s="10" t="s">
        <v>47</v>
      </c>
      <c r="F17" s="10" t="s">
        <v>48</v>
      </c>
      <c r="G17" s="9" t="n">
        <v>2335.1</v>
      </c>
      <c r="H17" s="10" t="s">
        <v>83</v>
      </c>
      <c r="I17" s="9"/>
    </row>
    <row r="18" customFormat="false" ht="15" hidden="false" customHeight="false" outlineLevel="0" collapsed="false">
      <c r="A18" s="9" t="s">
        <v>18</v>
      </c>
      <c r="B18" s="10" t="s">
        <v>78</v>
      </c>
      <c r="C18" s="10" t="s">
        <v>79</v>
      </c>
      <c r="D18" s="9" t="s">
        <v>85</v>
      </c>
      <c r="E18" s="10" t="s">
        <v>47</v>
      </c>
      <c r="F18" s="10" t="s">
        <v>48</v>
      </c>
      <c r="G18" s="9" t="n">
        <v>2314.8</v>
      </c>
      <c r="H18" s="10" t="s">
        <v>83</v>
      </c>
      <c r="I18" s="9"/>
    </row>
    <row r="19" customFormat="false" ht="15" hidden="false" customHeight="false" outlineLevel="0" collapsed="false">
      <c r="A19" s="9" t="s">
        <v>18</v>
      </c>
      <c r="B19" s="10" t="s">
        <v>78</v>
      </c>
      <c r="C19" s="10" t="s">
        <v>79</v>
      </c>
      <c r="D19" s="9" t="s">
        <v>86</v>
      </c>
      <c r="E19" s="10" t="s">
        <v>47</v>
      </c>
      <c r="F19" s="10" t="s">
        <v>48</v>
      </c>
      <c r="G19" s="9" t="n">
        <v>2335.1</v>
      </c>
      <c r="H19" s="10" t="s">
        <v>83</v>
      </c>
      <c r="I19" s="9"/>
    </row>
    <row r="20" customFormat="false" ht="15" hidden="false" customHeight="false" outlineLevel="0" collapsed="false">
      <c r="A20" s="9" t="s">
        <v>18</v>
      </c>
      <c r="B20" s="10" t="s">
        <v>78</v>
      </c>
      <c r="C20" s="10" t="s">
        <v>79</v>
      </c>
      <c r="D20" s="9" t="s">
        <v>87</v>
      </c>
      <c r="E20" s="10" t="s">
        <v>47</v>
      </c>
      <c r="F20" s="10" t="s">
        <v>48</v>
      </c>
      <c r="G20" s="9" t="n">
        <v>1874.9</v>
      </c>
      <c r="H20" s="10" t="s">
        <v>83</v>
      </c>
      <c r="I20" s="9"/>
    </row>
    <row r="21" customFormat="false" ht="15" hidden="false" customHeight="false" outlineLevel="0" collapsed="false">
      <c r="A21" s="9" t="s">
        <v>18</v>
      </c>
      <c r="B21" s="10" t="s">
        <v>78</v>
      </c>
      <c r="C21" s="10" t="s">
        <v>79</v>
      </c>
      <c r="D21" s="9" t="s">
        <v>88</v>
      </c>
      <c r="E21" s="10" t="s">
        <v>47</v>
      </c>
      <c r="F21" s="10" t="s">
        <v>48</v>
      </c>
      <c r="G21" s="9" t="n">
        <v>1894.8</v>
      </c>
      <c r="H21" s="10" t="s">
        <v>83</v>
      </c>
      <c r="I21" s="9"/>
    </row>
    <row r="22" customFormat="false" ht="15" hidden="false" customHeight="false" outlineLevel="0" collapsed="false">
      <c r="A22" s="9" t="s">
        <v>18</v>
      </c>
      <c r="B22" s="10" t="s">
        <v>78</v>
      </c>
      <c r="C22" s="10" t="s">
        <v>79</v>
      </c>
      <c r="D22" s="9" t="s">
        <v>89</v>
      </c>
      <c r="E22" s="10" t="s">
        <v>47</v>
      </c>
      <c r="F22" s="10" t="s">
        <v>48</v>
      </c>
      <c r="G22" s="9" t="n">
        <v>1874.9</v>
      </c>
      <c r="H22" s="10" t="s">
        <v>83</v>
      </c>
      <c r="I22" s="9"/>
    </row>
    <row r="23" customFormat="false" ht="15" hidden="false" customHeight="false" outlineLevel="0" collapsed="false">
      <c r="A23" s="9" t="s">
        <v>18</v>
      </c>
      <c r="B23" s="10" t="s">
        <v>90</v>
      </c>
      <c r="C23" s="10" t="s">
        <v>91</v>
      </c>
      <c r="D23" s="10" t="s">
        <v>92</v>
      </c>
      <c r="E23" s="10" t="s">
        <v>47</v>
      </c>
      <c r="F23" s="10" t="s">
        <v>48</v>
      </c>
      <c r="G23" s="9" t="n">
        <v>140.4</v>
      </c>
      <c r="H23" s="10" t="s">
        <v>93</v>
      </c>
      <c r="I23" s="9"/>
    </row>
    <row r="24" customFormat="false" ht="15" hidden="false" customHeight="false" outlineLevel="0" collapsed="false">
      <c r="A24" s="9" t="s">
        <v>18</v>
      </c>
      <c r="B24" s="10" t="s">
        <v>90</v>
      </c>
      <c r="C24" s="10" t="s">
        <v>91</v>
      </c>
      <c r="D24" s="10" t="s">
        <v>94</v>
      </c>
      <c r="E24" s="10" t="s">
        <v>47</v>
      </c>
      <c r="F24" s="10" t="s">
        <v>48</v>
      </c>
      <c r="G24" s="9" t="n">
        <v>119.3</v>
      </c>
      <c r="H24" s="10" t="s">
        <v>64</v>
      </c>
      <c r="I24" s="9"/>
    </row>
    <row r="25" customFormat="false" ht="15" hidden="false" customHeight="false" outlineLevel="0" collapsed="false">
      <c r="A25" s="9" t="s">
        <v>18</v>
      </c>
      <c r="B25" s="10" t="s">
        <v>90</v>
      </c>
      <c r="C25" s="10" t="s">
        <v>91</v>
      </c>
      <c r="D25" s="10" t="s">
        <v>95</v>
      </c>
      <c r="E25" s="10" t="s">
        <v>47</v>
      </c>
      <c r="F25" s="10" t="s">
        <v>48</v>
      </c>
      <c r="G25" s="9" t="n">
        <v>188</v>
      </c>
      <c r="H25" s="10" t="s">
        <v>96</v>
      </c>
      <c r="I25" s="9"/>
    </row>
    <row r="26" customFormat="false" ht="15" hidden="false" customHeight="false" outlineLevel="0" collapsed="false">
      <c r="A26" s="9" t="s">
        <v>18</v>
      </c>
      <c r="B26" s="10" t="s">
        <v>90</v>
      </c>
      <c r="C26" s="10" t="s">
        <v>91</v>
      </c>
      <c r="D26" s="10" t="s">
        <v>97</v>
      </c>
      <c r="E26" s="10" t="s">
        <v>47</v>
      </c>
      <c r="F26" s="10" t="s">
        <v>48</v>
      </c>
      <c r="G26" s="9" t="n">
        <v>129.3</v>
      </c>
      <c r="H26" s="10" t="s">
        <v>98</v>
      </c>
      <c r="I26" s="9"/>
    </row>
    <row r="27" customFormat="false" ht="15" hidden="false" customHeight="false" outlineLevel="0" collapsed="false">
      <c r="A27" s="9" t="s">
        <v>18</v>
      </c>
      <c r="B27" s="10" t="s">
        <v>90</v>
      </c>
      <c r="C27" s="10" t="s">
        <v>91</v>
      </c>
      <c r="D27" s="10" t="s">
        <v>99</v>
      </c>
      <c r="E27" s="10" t="s">
        <v>47</v>
      </c>
      <c r="F27" s="10" t="s">
        <v>48</v>
      </c>
      <c r="G27" s="9" t="n">
        <v>123.9</v>
      </c>
      <c r="H27" s="10" t="s">
        <v>100</v>
      </c>
      <c r="I27" s="9"/>
    </row>
    <row r="28" customFormat="false" ht="15" hidden="false" customHeight="false" outlineLevel="0" collapsed="false">
      <c r="A28" s="9" t="s">
        <v>18</v>
      </c>
      <c r="B28" s="10" t="s">
        <v>90</v>
      </c>
      <c r="C28" s="10" t="s">
        <v>91</v>
      </c>
      <c r="D28" s="10" t="s">
        <v>101</v>
      </c>
      <c r="E28" s="10" t="s">
        <v>47</v>
      </c>
      <c r="F28" s="10" t="s">
        <v>48</v>
      </c>
      <c r="G28" s="9" t="n">
        <v>281.5</v>
      </c>
      <c r="H28" s="10" t="s">
        <v>93</v>
      </c>
      <c r="I28" s="9"/>
    </row>
    <row r="29" customFormat="false" ht="15" hidden="false" customHeight="false" outlineLevel="0" collapsed="false">
      <c r="A29" s="9" t="s">
        <v>18</v>
      </c>
      <c r="B29" s="10" t="s">
        <v>90</v>
      </c>
      <c r="C29" s="10" t="s">
        <v>91</v>
      </c>
      <c r="D29" s="9" t="s">
        <v>102</v>
      </c>
      <c r="E29" s="10" t="s">
        <v>47</v>
      </c>
      <c r="F29" s="10" t="s">
        <v>48</v>
      </c>
      <c r="G29" s="9" t="n">
        <v>113.1</v>
      </c>
      <c r="H29" s="10" t="s">
        <v>103</v>
      </c>
      <c r="I29" s="9"/>
    </row>
    <row r="30" customFormat="false" ht="15" hidden="false" customHeight="false" outlineLevel="0" collapsed="false">
      <c r="A30" s="9" t="s">
        <v>18</v>
      </c>
      <c r="B30" s="10" t="s">
        <v>104</v>
      </c>
      <c r="C30" s="10" t="s">
        <v>105</v>
      </c>
      <c r="D30" s="10" t="s">
        <v>106</v>
      </c>
      <c r="E30" s="10" t="s">
        <v>47</v>
      </c>
      <c r="F30" s="10" t="s">
        <v>58</v>
      </c>
      <c r="G30" s="9" t="n">
        <v>58.7</v>
      </c>
      <c r="H30" s="10" t="s">
        <v>107</v>
      </c>
      <c r="I30" s="9"/>
    </row>
    <row r="31" customFormat="false" ht="15" hidden="false" customHeight="false" outlineLevel="0" collapsed="false">
      <c r="A31" s="9" t="s">
        <v>18</v>
      </c>
      <c r="B31" s="10" t="s">
        <v>104</v>
      </c>
      <c r="C31" s="10" t="s">
        <v>105</v>
      </c>
      <c r="D31" s="9" t="s">
        <v>108</v>
      </c>
      <c r="E31" s="10" t="s">
        <v>47</v>
      </c>
      <c r="F31" s="10" t="s">
        <v>48</v>
      </c>
      <c r="G31" s="9" t="n">
        <v>5116.1</v>
      </c>
      <c r="H31" s="10" t="s">
        <v>109</v>
      </c>
      <c r="I31" s="9"/>
    </row>
    <row r="32" customFormat="false" ht="15" hidden="false" customHeight="false" outlineLevel="0" collapsed="false">
      <c r="A32" s="9" t="s">
        <v>18</v>
      </c>
      <c r="B32" s="10" t="s">
        <v>104</v>
      </c>
      <c r="C32" s="10" t="s">
        <v>105</v>
      </c>
      <c r="D32" s="9" t="s">
        <v>110</v>
      </c>
      <c r="E32" s="10" t="s">
        <v>47</v>
      </c>
      <c r="F32" s="10" t="s">
        <v>48</v>
      </c>
      <c r="G32" s="9" t="n">
        <v>116.9</v>
      </c>
      <c r="H32" s="10" t="s">
        <v>109</v>
      </c>
      <c r="I32" s="9"/>
    </row>
    <row r="33" customFormat="false" ht="15" hidden="false" customHeight="false" outlineLevel="0" collapsed="false">
      <c r="A33" s="9" t="s">
        <v>18</v>
      </c>
      <c r="B33" s="10" t="s">
        <v>44</v>
      </c>
      <c r="C33" s="10" t="s">
        <v>111</v>
      </c>
      <c r="D33" s="10" t="s">
        <v>112</v>
      </c>
      <c r="E33" s="10" t="s">
        <v>47</v>
      </c>
      <c r="F33" s="10" t="s">
        <v>48</v>
      </c>
      <c r="G33" s="9" t="n">
        <v>114.7</v>
      </c>
      <c r="H33" s="10" t="s">
        <v>113</v>
      </c>
      <c r="I33" s="9"/>
    </row>
    <row r="34" customFormat="false" ht="15" hidden="false" customHeight="false" outlineLevel="0" collapsed="false">
      <c r="A34" s="9" t="s">
        <v>18</v>
      </c>
      <c r="B34" s="10" t="s">
        <v>44</v>
      </c>
      <c r="C34" s="10" t="s">
        <v>111</v>
      </c>
      <c r="D34" s="10" t="s">
        <v>114</v>
      </c>
      <c r="E34" s="10" t="s">
        <v>47</v>
      </c>
      <c r="F34" s="10" t="s">
        <v>48</v>
      </c>
      <c r="G34" s="9" t="n">
        <v>115.8</v>
      </c>
      <c r="H34" s="10" t="s">
        <v>115</v>
      </c>
      <c r="I34" s="9"/>
    </row>
    <row r="35" customFormat="false" ht="15" hidden="false" customHeight="false" outlineLevel="0" collapsed="false">
      <c r="A35" s="9" t="s">
        <v>18</v>
      </c>
      <c r="B35" s="10" t="s">
        <v>44</v>
      </c>
      <c r="C35" s="10" t="s">
        <v>116</v>
      </c>
      <c r="D35" s="10" t="s">
        <v>117</v>
      </c>
      <c r="E35" s="10" t="s">
        <v>47</v>
      </c>
      <c r="F35" s="10" t="s">
        <v>48</v>
      </c>
      <c r="G35" s="9" t="n">
        <v>115.7</v>
      </c>
      <c r="H35" s="10" t="s">
        <v>118</v>
      </c>
      <c r="I35" s="9"/>
    </row>
    <row r="36" customFormat="false" ht="15" hidden="false" customHeight="false" outlineLevel="0" collapsed="false">
      <c r="A36" s="9" t="s">
        <v>18</v>
      </c>
      <c r="B36" s="10" t="s">
        <v>44</v>
      </c>
      <c r="C36" s="10" t="s">
        <v>116</v>
      </c>
      <c r="D36" s="10" t="s">
        <v>119</v>
      </c>
      <c r="E36" s="10" t="s">
        <v>47</v>
      </c>
      <c r="F36" s="10" t="s">
        <v>48</v>
      </c>
      <c r="G36" s="9" t="n">
        <v>143.3</v>
      </c>
      <c r="H36" s="10" t="s">
        <v>120</v>
      </c>
      <c r="I36" s="9"/>
    </row>
    <row r="37" customFormat="false" ht="15" hidden="false" customHeight="false" outlineLevel="0" collapsed="false">
      <c r="A37" s="9" t="s">
        <v>18</v>
      </c>
      <c r="B37" s="10" t="s">
        <v>44</v>
      </c>
      <c r="C37" s="10" t="s">
        <v>121</v>
      </c>
      <c r="D37" s="10" t="s">
        <v>122</v>
      </c>
      <c r="E37" s="10" t="s">
        <v>47</v>
      </c>
      <c r="F37" s="10" t="s">
        <v>58</v>
      </c>
      <c r="G37" s="9" t="n">
        <v>7.2</v>
      </c>
      <c r="H37" s="10" t="s">
        <v>123</v>
      </c>
      <c r="I37" s="9"/>
    </row>
    <row r="38" customFormat="false" ht="15" hidden="false" customHeight="false" outlineLevel="0" collapsed="false">
      <c r="A38" s="9" t="s">
        <v>18</v>
      </c>
      <c r="B38" s="10" t="s">
        <v>44</v>
      </c>
      <c r="C38" s="10" t="s">
        <v>121</v>
      </c>
      <c r="D38" s="10" t="s">
        <v>124</v>
      </c>
      <c r="E38" s="10" t="s">
        <v>47</v>
      </c>
      <c r="F38" s="10" t="s">
        <v>48</v>
      </c>
      <c r="G38" s="9" t="n">
        <v>114.1</v>
      </c>
      <c r="H38" s="10" t="s">
        <v>123</v>
      </c>
      <c r="I38" s="9"/>
    </row>
    <row r="39" customFormat="false" ht="15" hidden="false" customHeight="false" outlineLevel="0" collapsed="false">
      <c r="A39" s="9" t="s">
        <v>18</v>
      </c>
      <c r="B39" s="10" t="s">
        <v>44</v>
      </c>
      <c r="C39" s="10" t="s">
        <v>121</v>
      </c>
      <c r="D39" s="10" t="s">
        <v>117</v>
      </c>
      <c r="E39" s="10" t="s">
        <v>47</v>
      </c>
      <c r="F39" s="10" t="s">
        <v>48</v>
      </c>
      <c r="G39" s="9" t="n">
        <v>115.7</v>
      </c>
      <c r="H39" s="10" t="s">
        <v>118</v>
      </c>
      <c r="I39" s="9"/>
    </row>
    <row r="40" customFormat="false" ht="15" hidden="false" customHeight="false" outlineLevel="0" collapsed="false">
      <c r="A40" s="9" t="s">
        <v>18</v>
      </c>
      <c r="B40" s="10" t="s">
        <v>44</v>
      </c>
      <c r="C40" s="10" t="s">
        <v>121</v>
      </c>
      <c r="D40" s="10" t="s">
        <v>119</v>
      </c>
      <c r="E40" s="10" t="s">
        <v>47</v>
      </c>
      <c r="F40" s="10" t="s">
        <v>48</v>
      </c>
      <c r="G40" s="9" t="n">
        <v>143.3</v>
      </c>
      <c r="H40" s="10" t="s">
        <v>120</v>
      </c>
      <c r="I40" s="9"/>
    </row>
    <row r="41" customFormat="false" ht="15" hidden="false" customHeight="false" outlineLevel="0" collapsed="false">
      <c r="A41" s="9" t="s">
        <v>18</v>
      </c>
      <c r="B41" s="10" t="s">
        <v>44</v>
      </c>
      <c r="C41" s="10" t="s">
        <v>125</v>
      </c>
      <c r="D41" s="10" t="s">
        <v>112</v>
      </c>
      <c r="E41" s="10" t="s">
        <v>47</v>
      </c>
      <c r="F41" s="10" t="s">
        <v>48</v>
      </c>
      <c r="G41" s="9" t="n">
        <v>114.7</v>
      </c>
      <c r="H41" s="10" t="s">
        <v>113</v>
      </c>
      <c r="I41" s="9"/>
    </row>
    <row r="42" customFormat="false" ht="15" hidden="false" customHeight="false" outlineLevel="0" collapsed="false">
      <c r="A42" s="9" t="s">
        <v>18</v>
      </c>
      <c r="B42" s="10" t="s">
        <v>44</v>
      </c>
      <c r="C42" s="10" t="s">
        <v>125</v>
      </c>
      <c r="D42" s="10" t="s">
        <v>114</v>
      </c>
      <c r="E42" s="10" t="s">
        <v>47</v>
      </c>
      <c r="F42" s="10" t="s">
        <v>48</v>
      </c>
      <c r="G42" s="9" t="n">
        <v>115.8</v>
      </c>
      <c r="H42" s="10" t="s">
        <v>115</v>
      </c>
      <c r="I42" s="9"/>
    </row>
    <row r="43" customFormat="false" ht="15" hidden="false" customHeight="false" outlineLevel="0" collapsed="false">
      <c r="A43" s="9" t="s">
        <v>18</v>
      </c>
      <c r="B43" s="10" t="s">
        <v>126</v>
      </c>
      <c r="C43" s="10" t="s">
        <v>127</v>
      </c>
      <c r="D43" s="10" t="s">
        <v>128</v>
      </c>
      <c r="E43" s="10" t="s">
        <v>47</v>
      </c>
      <c r="F43" s="10" t="s">
        <v>48</v>
      </c>
      <c r="G43" s="9" t="n">
        <v>3169.7</v>
      </c>
      <c r="H43" s="10" t="s">
        <v>129</v>
      </c>
      <c r="I43" s="9"/>
    </row>
    <row r="44" customFormat="false" ht="15" hidden="false" customHeight="false" outlineLevel="0" collapsed="false">
      <c r="A44" s="9" t="s">
        <v>18</v>
      </c>
      <c r="B44" s="10" t="s">
        <v>126</v>
      </c>
      <c r="C44" s="10" t="s">
        <v>127</v>
      </c>
      <c r="D44" s="10" t="s">
        <v>130</v>
      </c>
      <c r="E44" s="10" t="s">
        <v>47</v>
      </c>
      <c r="F44" s="10" t="s">
        <v>48</v>
      </c>
      <c r="G44" s="9" t="n">
        <v>3180.2</v>
      </c>
      <c r="H44" s="10" t="s">
        <v>131</v>
      </c>
      <c r="I44" s="9"/>
    </row>
    <row r="45" customFormat="false" ht="15" hidden="false" customHeight="false" outlineLevel="0" collapsed="false">
      <c r="A45" s="9" t="s">
        <v>18</v>
      </c>
      <c r="B45" s="10" t="s">
        <v>126</v>
      </c>
      <c r="C45" s="10" t="s">
        <v>127</v>
      </c>
      <c r="D45" s="10" t="s">
        <v>132</v>
      </c>
      <c r="E45" s="10" t="s">
        <v>47</v>
      </c>
      <c r="F45" s="10" t="s">
        <v>48</v>
      </c>
      <c r="G45" s="9" t="n">
        <v>425.5</v>
      </c>
      <c r="H45" s="10" t="s">
        <v>133</v>
      </c>
      <c r="I45" s="9"/>
    </row>
    <row r="46" customFormat="false" ht="15" hidden="false" customHeight="false" outlineLevel="0" collapsed="false">
      <c r="A46" s="9" t="s">
        <v>18</v>
      </c>
      <c r="B46" s="10" t="s">
        <v>126</v>
      </c>
      <c r="C46" s="10" t="s">
        <v>127</v>
      </c>
      <c r="D46" s="10" t="s">
        <v>134</v>
      </c>
      <c r="E46" s="10" t="s">
        <v>47</v>
      </c>
      <c r="F46" s="10" t="s">
        <v>48</v>
      </c>
      <c r="G46" s="9" t="n">
        <v>627.4</v>
      </c>
      <c r="H46" s="10" t="s">
        <v>135</v>
      </c>
      <c r="I46" s="9"/>
    </row>
    <row r="47" customFormat="false" ht="15" hidden="false" customHeight="false" outlineLevel="0" collapsed="false">
      <c r="A47" s="9" t="s">
        <v>18</v>
      </c>
      <c r="B47" s="10" t="s">
        <v>126</v>
      </c>
      <c r="C47" s="10" t="s">
        <v>127</v>
      </c>
      <c r="D47" s="10" t="s">
        <v>136</v>
      </c>
      <c r="E47" s="10" t="s">
        <v>47</v>
      </c>
      <c r="F47" s="10" t="s">
        <v>48</v>
      </c>
      <c r="G47" s="9" t="n">
        <v>413.9</v>
      </c>
      <c r="H47" s="10" t="s">
        <v>137</v>
      </c>
      <c r="I47" s="9"/>
    </row>
    <row r="48" customFormat="false" ht="15" hidden="false" customHeight="false" outlineLevel="0" collapsed="false">
      <c r="A48" s="9" t="s">
        <v>18</v>
      </c>
      <c r="B48" s="10" t="s">
        <v>126</v>
      </c>
      <c r="C48" s="10" t="s">
        <v>127</v>
      </c>
      <c r="D48" s="10" t="s">
        <v>138</v>
      </c>
      <c r="E48" s="10" t="s">
        <v>47</v>
      </c>
      <c r="F48" s="10" t="s">
        <v>48</v>
      </c>
      <c r="G48" s="9" t="n">
        <v>315.7</v>
      </c>
      <c r="H48" s="10" t="s">
        <v>139</v>
      </c>
      <c r="I48" s="9"/>
    </row>
    <row r="49" customFormat="false" ht="15" hidden="false" customHeight="false" outlineLevel="0" collapsed="false">
      <c r="A49" s="9" t="s">
        <v>18</v>
      </c>
      <c r="B49" s="10" t="s">
        <v>140</v>
      </c>
      <c r="C49" s="10" t="s">
        <v>141</v>
      </c>
      <c r="D49" s="10" t="s">
        <v>128</v>
      </c>
      <c r="E49" s="10" t="s">
        <v>47</v>
      </c>
      <c r="F49" s="10" t="s">
        <v>48</v>
      </c>
      <c r="G49" s="9" t="n">
        <v>3169.7</v>
      </c>
      <c r="H49" s="10" t="s">
        <v>129</v>
      </c>
      <c r="I49" s="9"/>
    </row>
    <row r="50" customFormat="false" ht="15" hidden="false" customHeight="false" outlineLevel="0" collapsed="false">
      <c r="A50" s="9" t="s">
        <v>18</v>
      </c>
      <c r="B50" s="10" t="s">
        <v>140</v>
      </c>
      <c r="C50" s="10" t="s">
        <v>141</v>
      </c>
      <c r="D50" s="10" t="s">
        <v>130</v>
      </c>
      <c r="E50" s="10" t="s">
        <v>47</v>
      </c>
      <c r="F50" s="10" t="s">
        <v>48</v>
      </c>
      <c r="G50" s="9" t="n">
        <v>3180.2</v>
      </c>
      <c r="H50" s="10" t="s">
        <v>131</v>
      </c>
      <c r="I50" s="9"/>
    </row>
    <row r="51" customFormat="false" ht="15" hidden="false" customHeight="false" outlineLevel="0" collapsed="false">
      <c r="A51" s="9" t="s">
        <v>18</v>
      </c>
      <c r="B51" s="10" t="s">
        <v>140</v>
      </c>
      <c r="C51" s="10" t="s">
        <v>141</v>
      </c>
      <c r="D51" s="10" t="s">
        <v>132</v>
      </c>
      <c r="E51" s="10" t="s">
        <v>47</v>
      </c>
      <c r="F51" s="10" t="s">
        <v>48</v>
      </c>
      <c r="G51" s="9" t="n">
        <v>425.5</v>
      </c>
      <c r="H51" s="10" t="s">
        <v>133</v>
      </c>
      <c r="I51" s="9"/>
    </row>
    <row r="52" customFormat="false" ht="15" hidden="false" customHeight="false" outlineLevel="0" collapsed="false">
      <c r="A52" s="9" t="s">
        <v>18</v>
      </c>
      <c r="B52" s="10" t="s">
        <v>140</v>
      </c>
      <c r="C52" s="10" t="s">
        <v>141</v>
      </c>
      <c r="D52" s="10" t="s">
        <v>134</v>
      </c>
      <c r="E52" s="10" t="s">
        <v>47</v>
      </c>
      <c r="F52" s="10" t="s">
        <v>48</v>
      </c>
      <c r="G52" s="9" t="n">
        <v>627.4</v>
      </c>
      <c r="H52" s="10" t="s">
        <v>135</v>
      </c>
      <c r="I52" s="9"/>
    </row>
    <row r="53" customFormat="false" ht="15" hidden="false" customHeight="false" outlineLevel="0" collapsed="false">
      <c r="A53" s="9" t="s">
        <v>18</v>
      </c>
      <c r="B53" s="10" t="s">
        <v>140</v>
      </c>
      <c r="C53" s="10" t="s">
        <v>141</v>
      </c>
      <c r="D53" s="10" t="s">
        <v>142</v>
      </c>
      <c r="E53" s="10" t="s">
        <v>47</v>
      </c>
      <c r="F53" s="10" t="s">
        <v>48</v>
      </c>
      <c r="G53" s="9" t="n">
        <v>938.1</v>
      </c>
      <c r="H53" s="10" t="s">
        <v>143</v>
      </c>
      <c r="I53" s="9"/>
    </row>
    <row r="54" customFormat="false" ht="15" hidden="false" customHeight="false" outlineLevel="0" collapsed="false">
      <c r="A54" s="9" t="s">
        <v>18</v>
      </c>
      <c r="B54" s="10" t="s">
        <v>140</v>
      </c>
      <c r="C54" s="10" t="s">
        <v>141</v>
      </c>
      <c r="D54" s="10" t="s">
        <v>144</v>
      </c>
      <c r="E54" s="10" t="s">
        <v>47</v>
      </c>
      <c r="F54" s="10" t="s">
        <v>48</v>
      </c>
      <c r="G54" s="9" t="n">
        <v>1630.7</v>
      </c>
      <c r="H54" s="10" t="s">
        <v>145</v>
      </c>
      <c r="I54" s="9"/>
    </row>
    <row r="55" customFormat="false" ht="15" hidden="false" customHeight="false" outlineLevel="0" collapsed="false">
      <c r="A55" s="9" t="s">
        <v>18</v>
      </c>
      <c r="B55" s="10" t="s">
        <v>140</v>
      </c>
      <c r="C55" s="10" t="s">
        <v>141</v>
      </c>
      <c r="D55" s="10" t="s">
        <v>146</v>
      </c>
      <c r="E55" s="10" t="s">
        <v>47</v>
      </c>
      <c r="F55" s="10" t="s">
        <v>48</v>
      </c>
      <c r="G55" s="9" t="n">
        <v>1642.9</v>
      </c>
      <c r="H55" s="10" t="s">
        <v>147</v>
      </c>
      <c r="I55" s="9"/>
    </row>
    <row r="56" customFormat="false" ht="15" hidden="false" customHeight="false" outlineLevel="0" collapsed="false">
      <c r="A56" s="9" t="s">
        <v>18</v>
      </c>
      <c r="B56" s="10" t="s">
        <v>140</v>
      </c>
      <c r="C56" s="10" t="s">
        <v>141</v>
      </c>
      <c r="D56" s="10" t="s">
        <v>148</v>
      </c>
      <c r="E56" s="10" t="s">
        <v>47</v>
      </c>
      <c r="F56" s="10" t="s">
        <v>48</v>
      </c>
      <c r="G56" s="9" t="n">
        <v>1580.6</v>
      </c>
      <c r="H56" s="10" t="s">
        <v>149</v>
      </c>
      <c r="I56" s="9"/>
    </row>
    <row r="57" customFormat="false" ht="15" hidden="false" customHeight="false" outlineLevel="0" collapsed="false">
      <c r="A57" s="9" t="s">
        <v>18</v>
      </c>
      <c r="B57" s="10" t="s">
        <v>140</v>
      </c>
      <c r="C57" s="10" t="s">
        <v>141</v>
      </c>
      <c r="D57" s="10" t="s">
        <v>150</v>
      </c>
      <c r="E57" s="10" t="s">
        <v>47</v>
      </c>
      <c r="F57" s="10" t="s">
        <v>48</v>
      </c>
      <c r="G57" s="9" t="n">
        <v>1352.5</v>
      </c>
      <c r="H57" s="10" t="s">
        <v>151</v>
      </c>
      <c r="I57" s="9"/>
    </row>
    <row r="58" customFormat="false" ht="15" hidden="false" customHeight="false" outlineLevel="0" collapsed="false">
      <c r="A58" s="9" t="s">
        <v>18</v>
      </c>
      <c r="B58" s="10" t="s">
        <v>140</v>
      </c>
      <c r="C58" s="10" t="s">
        <v>141</v>
      </c>
      <c r="D58" s="10" t="s">
        <v>136</v>
      </c>
      <c r="E58" s="10" t="s">
        <v>47</v>
      </c>
      <c r="F58" s="10" t="s">
        <v>48</v>
      </c>
      <c r="G58" s="9" t="n">
        <v>413.9</v>
      </c>
      <c r="H58" s="10" t="s">
        <v>137</v>
      </c>
      <c r="I58" s="9"/>
    </row>
    <row r="59" customFormat="false" ht="15" hidden="false" customHeight="false" outlineLevel="0" collapsed="false">
      <c r="A59" s="9" t="s">
        <v>18</v>
      </c>
      <c r="B59" s="10" t="s">
        <v>140</v>
      </c>
      <c r="C59" s="10" t="s">
        <v>141</v>
      </c>
      <c r="D59" s="10" t="s">
        <v>138</v>
      </c>
      <c r="E59" s="10" t="s">
        <v>47</v>
      </c>
      <c r="F59" s="10" t="s">
        <v>48</v>
      </c>
      <c r="G59" s="9" t="n">
        <v>315.7</v>
      </c>
      <c r="H59" s="10" t="s">
        <v>139</v>
      </c>
      <c r="I59" s="9"/>
    </row>
    <row r="60" customFormat="false" ht="15" hidden="false" customHeight="false" outlineLevel="0" collapsed="false">
      <c r="A60" s="9" t="s">
        <v>18</v>
      </c>
      <c r="B60" s="10" t="s">
        <v>152</v>
      </c>
      <c r="C60" s="10" t="s">
        <v>153</v>
      </c>
      <c r="D60" s="9" t="s">
        <v>154</v>
      </c>
      <c r="E60" s="10" t="s">
        <v>47</v>
      </c>
      <c r="F60" s="10" t="s">
        <v>48</v>
      </c>
      <c r="G60" s="9" t="n">
        <v>13026.5</v>
      </c>
      <c r="H60" s="10" t="s">
        <v>135</v>
      </c>
      <c r="I60" s="9"/>
    </row>
    <row r="61" customFormat="false" ht="15" hidden="false" customHeight="false" outlineLevel="0" collapsed="false">
      <c r="A61" s="9" t="s">
        <v>19</v>
      </c>
      <c r="B61" s="10" t="s">
        <v>155</v>
      </c>
      <c r="C61" s="10" t="s">
        <v>156</v>
      </c>
      <c r="D61" s="10" t="s">
        <v>157</v>
      </c>
      <c r="E61" s="10" t="s">
        <v>47</v>
      </c>
      <c r="F61" s="10" t="s">
        <v>48</v>
      </c>
      <c r="G61" s="9" t="n">
        <v>1498</v>
      </c>
      <c r="H61" s="10" t="s">
        <v>158</v>
      </c>
      <c r="I61" s="9"/>
    </row>
    <row r="62" customFormat="false" ht="15" hidden="false" customHeight="false" outlineLevel="0" collapsed="false">
      <c r="A62" s="9" t="s">
        <v>19</v>
      </c>
      <c r="B62" s="10" t="s">
        <v>155</v>
      </c>
      <c r="C62" s="10" t="s">
        <v>156</v>
      </c>
      <c r="D62" s="10" t="s">
        <v>159</v>
      </c>
      <c r="E62" s="10" t="s">
        <v>47</v>
      </c>
      <c r="F62" s="10" t="s">
        <v>48</v>
      </c>
      <c r="G62" s="9" t="n">
        <v>2089.2</v>
      </c>
      <c r="H62" s="10" t="s">
        <v>160</v>
      </c>
      <c r="I62" s="9"/>
    </row>
    <row r="63" customFormat="false" ht="15" hidden="false" customHeight="false" outlineLevel="0" collapsed="false">
      <c r="A63" s="9" t="s">
        <v>19</v>
      </c>
      <c r="B63" s="10" t="s">
        <v>155</v>
      </c>
      <c r="C63" s="10" t="s">
        <v>156</v>
      </c>
      <c r="D63" s="10" t="s">
        <v>161</v>
      </c>
      <c r="E63" s="10" t="s">
        <v>47</v>
      </c>
      <c r="F63" s="10" t="s">
        <v>48</v>
      </c>
      <c r="G63" s="9" t="n">
        <v>1059</v>
      </c>
      <c r="H63" s="10" t="s">
        <v>162</v>
      </c>
      <c r="I63" s="9"/>
    </row>
    <row r="64" customFormat="false" ht="15" hidden="false" customHeight="false" outlineLevel="0" collapsed="false">
      <c r="A64" s="9" t="s">
        <v>19</v>
      </c>
      <c r="B64" s="10" t="s">
        <v>155</v>
      </c>
      <c r="C64" s="10" t="s">
        <v>156</v>
      </c>
      <c r="D64" s="10" t="s">
        <v>163</v>
      </c>
      <c r="E64" s="10" t="s">
        <v>47</v>
      </c>
      <c r="F64" s="10" t="s">
        <v>48</v>
      </c>
      <c r="G64" s="9" t="n">
        <v>754.6</v>
      </c>
      <c r="H64" s="10" t="s">
        <v>162</v>
      </c>
      <c r="I64" s="9"/>
    </row>
    <row r="65" customFormat="false" ht="15" hidden="false" customHeight="false" outlineLevel="0" collapsed="false">
      <c r="A65" s="9" t="s">
        <v>19</v>
      </c>
      <c r="B65" s="10" t="s">
        <v>155</v>
      </c>
      <c r="C65" s="10" t="s">
        <v>156</v>
      </c>
      <c r="D65" s="10" t="s">
        <v>164</v>
      </c>
      <c r="E65" s="10" t="s">
        <v>47</v>
      </c>
      <c r="F65" s="10" t="s">
        <v>48</v>
      </c>
      <c r="G65" s="9" t="n">
        <v>750.1</v>
      </c>
      <c r="H65" s="10" t="s">
        <v>165</v>
      </c>
      <c r="I65" s="9"/>
    </row>
    <row r="66" customFormat="false" ht="15" hidden="false" customHeight="false" outlineLevel="0" collapsed="false">
      <c r="A66" s="9" t="s">
        <v>19</v>
      </c>
      <c r="B66" s="10" t="s">
        <v>155</v>
      </c>
      <c r="C66" s="10" t="s">
        <v>156</v>
      </c>
      <c r="D66" s="10" t="s">
        <v>166</v>
      </c>
      <c r="E66" s="10" t="s">
        <v>47</v>
      </c>
      <c r="F66" s="10" t="s">
        <v>48</v>
      </c>
      <c r="G66" s="9" t="n">
        <v>631.7</v>
      </c>
      <c r="H66" s="10" t="s">
        <v>165</v>
      </c>
      <c r="I66" s="9"/>
    </row>
    <row r="67" customFormat="false" ht="15" hidden="false" customHeight="false" outlineLevel="0" collapsed="false">
      <c r="A67" s="9" t="s">
        <v>19</v>
      </c>
      <c r="B67" s="10" t="s">
        <v>155</v>
      </c>
      <c r="C67" s="10" t="s">
        <v>156</v>
      </c>
      <c r="D67" s="10" t="s">
        <v>167</v>
      </c>
      <c r="E67" s="10" t="s">
        <v>47</v>
      </c>
      <c r="F67" s="10" t="s">
        <v>48</v>
      </c>
      <c r="G67" s="9" t="n">
        <v>757.3</v>
      </c>
      <c r="H67" s="10" t="s">
        <v>165</v>
      </c>
      <c r="I67" s="9"/>
    </row>
    <row r="68" customFormat="false" ht="15" hidden="false" customHeight="false" outlineLevel="0" collapsed="false">
      <c r="A68" s="9" t="s">
        <v>19</v>
      </c>
      <c r="B68" s="10" t="s">
        <v>155</v>
      </c>
      <c r="C68" s="10" t="s">
        <v>156</v>
      </c>
      <c r="D68" s="10" t="s">
        <v>168</v>
      </c>
      <c r="E68" s="10" t="s">
        <v>47</v>
      </c>
      <c r="F68" s="10" t="s">
        <v>58</v>
      </c>
      <c r="G68" s="9" t="n">
        <v>432.2</v>
      </c>
      <c r="H68" s="10" t="s">
        <v>162</v>
      </c>
      <c r="I68" s="9"/>
    </row>
    <row r="69" customFormat="false" ht="15" hidden="false" customHeight="false" outlineLevel="0" collapsed="false">
      <c r="A69" s="9" t="s">
        <v>19</v>
      </c>
      <c r="B69" s="10" t="s">
        <v>155</v>
      </c>
      <c r="C69" s="10" t="s">
        <v>156</v>
      </c>
      <c r="D69" s="10" t="s">
        <v>169</v>
      </c>
      <c r="E69" s="10" t="s">
        <v>47</v>
      </c>
      <c r="F69" s="10" t="s">
        <v>48</v>
      </c>
      <c r="G69" s="9" t="n">
        <v>197.9</v>
      </c>
      <c r="H69" s="10" t="s">
        <v>170</v>
      </c>
      <c r="I69" s="9"/>
    </row>
    <row r="70" customFormat="false" ht="15" hidden="false" customHeight="false" outlineLevel="0" collapsed="false">
      <c r="A70" s="9" t="s">
        <v>19</v>
      </c>
      <c r="B70" s="10" t="s">
        <v>155</v>
      </c>
      <c r="C70" s="10" t="s">
        <v>156</v>
      </c>
      <c r="D70" s="10" t="s">
        <v>171</v>
      </c>
      <c r="E70" s="10" t="s">
        <v>47</v>
      </c>
      <c r="F70" s="10" t="s">
        <v>48</v>
      </c>
      <c r="G70" s="9" t="n">
        <v>134.4</v>
      </c>
      <c r="H70" s="10" t="s">
        <v>165</v>
      </c>
      <c r="I70" s="9"/>
    </row>
    <row r="71" customFormat="false" ht="15" hidden="false" customHeight="false" outlineLevel="0" collapsed="false">
      <c r="A71" s="9" t="s">
        <v>19</v>
      </c>
      <c r="B71" s="10" t="s">
        <v>155</v>
      </c>
      <c r="C71" s="10" t="s">
        <v>156</v>
      </c>
      <c r="D71" s="10" t="s">
        <v>172</v>
      </c>
      <c r="E71" s="10" t="s">
        <v>47</v>
      </c>
      <c r="F71" s="10" t="s">
        <v>48</v>
      </c>
      <c r="G71" s="9" t="n">
        <v>222</v>
      </c>
      <c r="H71" s="10" t="s">
        <v>162</v>
      </c>
      <c r="I71" s="9"/>
    </row>
    <row r="72" customFormat="false" ht="15" hidden="false" customHeight="false" outlineLevel="0" collapsed="false">
      <c r="A72" s="9" t="s">
        <v>19</v>
      </c>
      <c r="B72" s="10" t="s">
        <v>155</v>
      </c>
      <c r="C72" s="10" t="s">
        <v>156</v>
      </c>
      <c r="D72" s="10" t="s">
        <v>173</v>
      </c>
      <c r="E72" s="10" t="s">
        <v>47</v>
      </c>
      <c r="F72" s="10" t="s">
        <v>48</v>
      </c>
      <c r="G72" s="9" t="n">
        <v>136.1</v>
      </c>
      <c r="H72" s="10" t="s">
        <v>162</v>
      </c>
      <c r="I72" s="9"/>
    </row>
    <row r="73" customFormat="false" ht="15" hidden="false" customHeight="false" outlineLevel="0" collapsed="false">
      <c r="A73" s="9" t="s">
        <v>19</v>
      </c>
      <c r="B73" s="10" t="s">
        <v>155</v>
      </c>
      <c r="C73" s="10" t="s">
        <v>156</v>
      </c>
      <c r="D73" s="10" t="s">
        <v>174</v>
      </c>
      <c r="E73" s="10" t="s">
        <v>47</v>
      </c>
      <c r="F73" s="10" t="s">
        <v>48</v>
      </c>
      <c r="G73" s="9" t="n">
        <v>282.6</v>
      </c>
      <c r="H73" s="10" t="s">
        <v>175</v>
      </c>
      <c r="I73" s="9"/>
    </row>
    <row r="74" customFormat="false" ht="15" hidden="false" customHeight="false" outlineLevel="0" collapsed="false">
      <c r="A74" s="9" t="s">
        <v>19</v>
      </c>
      <c r="B74" s="10" t="s">
        <v>176</v>
      </c>
      <c r="C74" s="10" t="s">
        <v>177</v>
      </c>
      <c r="D74" s="10" t="s">
        <v>178</v>
      </c>
      <c r="E74" s="10" t="s">
        <v>47</v>
      </c>
      <c r="F74" s="10" t="s">
        <v>48</v>
      </c>
      <c r="G74" s="9" t="n">
        <v>640</v>
      </c>
      <c r="H74" s="10" t="s">
        <v>179</v>
      </c>
      <c r="I74" s="9"/>
    </row>
    <row r="75" customFormat="false" ht="15" hidden="false" customHeight="false" outlineLevel="0" collapsed="false">
      <c r="A75" s="9" t="s">
        <v>19</v>
      </c>
      <c r="B75" s="10" t="s">
        <v>176</v>
      </c>
      <c r="C75" s="10" t="s">
        <v>177</v>
      </c>
      <c r="D75" s="10" t="s">
        <v>180</v>
      </c>
      <c r="E75" s="10" t="s">
        <v>47</v>
      </c>
      <c r="F75" s="10" t="s">
        <v>48</v>
      </c>
      <c r="G75" s="9" t="n">
        <v>843.5</v>
      </c>
      <c r="H75" s="10" t="s">
        <v>181</v>
      </c>
      <c r="I75" s="9"/>
    </row>
    <row r="76" customFormat="false" ht="15" hidden="false" customHeight="false" outlineLevel="0" collapsed="false">
      <c r="A76" s="9" t="s">
        <v>19</v>
      </c>
      <c r="B76" s="10" t="s">
        <v>176</v>
      </c>
      <c r="C76" s="10" t="s">
        <v>177</v>
      </c>
      <c r="D76" s="10" t="s">
        <v>182</v>
      </c>
      <c r="E76" s="10" t="s">
        <v>47</v>
      </c>
      <c r="F76" s="10" t="s">
        <v>48</v>
      </c>
      <c r="G76" s="9" t="n">
        <v>241.4</v>
      </c>
      <c r="H76" s="10" t="s">
        <v>183</v>
      </c>
      <c r="I76" s="9"/>
    </row>
    <row r="77" customFormat="false" ht="15" hidden="false" customHeight="false" outlineLevel="0" collapsed="false">
      <c r="A77" s="9" t="s">
        <v>19</v>
      </c>
      <c r="B77" s="10" t="s">
        <v>176</v>
      </c>
      <c r="C77" s="10" t="s">
        <v>177</v>
      </c>
      <c r="D77" s="10" t="s">
        <v>184</v>
      </c>
      <c r="E77" s="10" t="s">
        <v>47</v>
      </c>
      <c r="F77" s="10" t="s">
        <v>48</v>
      </c>
      <c r="G77" s="9" t="n">
        <v>135.6</v>
      </c>
      <c r="H77" s="10" t="s">
        <v>185</v>
      </c>
      <c r="I77" s="9"/>
    </row>
    <row r="78" customFormat="false" ht="15" hidden="false" customHeight="false" outlineLevel="0" collapsed="false">
      <c r="A78" s="9" t="s">
        <v>19</v>
      </c>
      <c r="B78" s="10" t="s">
        <v>176</v>
      </c>
      <c r="C78" s="10" t="s">
        <v>177</v>
      </c>
      <c r="D78" s="10" t="s">
        <v>186</v>
      </c>
      <c r="E78" s="10" t="s">
        <v>47</v>
      </c>
      <c r="F78" s="10" t="s">
        <v>48</v>
      </c>
      <c r="G78" s="9" t="n">
        <v>117.8</v>
      </c>
      <c r="H78" s="10" t="s">
        <v>187</v>
      </c>
      <c r="I78" s="9"/>
    </row>
    <row r="79" customFormat="false" ht="15" hidden="false" customHeight="false" outlineLevel="0" collapsed="false">
      <c r="A79" s="9" t="s">
        <v>19</v>
      </c>
      <c r="B79" s="10" t="s">
        <v>176</v>
      </c>
      <c r="C79" s="10" t="s">
        <v>177</v>
      </c>
      <c r="D79" s="10" t="s">
        <v>188</v>
      </c>
      <c r="E79" s="10" t="s">
        <v>47</v>
      </c>
      <c r="F79" s="10" t="s">
        <v>48</v>
      </c>
      <c r="G79" s="9" t="n">
        <v>132.5</v>
      </c>
      <c r="H79" s="10" t="s">
        <v>189</v>
      </c>
      <c r="I79" s="9"/>
    </row>
    <row r="80" customFormat="false" ht="15" hidden="false" customHeight="false" outlineLevel="0" collapsed="false">
      <c r="A80" s="9" t="s">
        <v>19</v>
      </c>
      <c r="B80" s="10" t="s">
        <v>176</v>
      </c>
      <c r="C80" s="10" t="s">
        <v>177</v>
      </c>
      <c r="D80" s="10" t="s">
        <v>190</v>
      </c>
      <c r="E80" s="10" t="s">
        <v>47</v>
      </c>
      <c r="F80" s="10" t="s">
        <v>48</v>
      </c>
      <c r="G80" s="9" t="n">
        <v>118.2</v>
      </c>
      <c r="H80" s="10" t="s">
        <v>191</v>
      </c>
      <c r="I80" s="9"/>
    </row>
    <row r="81" customFormat="false" ht="15" hidden="false" customHeight="false" outlineLevel="0" collapsed="false">
      <c r="A81" s="9" t="s">
        <v>19</v>
      </c>
      <c r="B81" s="10" t="s">
        <v>176</v>
      </c>
      <c r="C81" s="10" t="s">
        <v>177</v>
      </c>
      <c r="D81" s="10" t="s">
        <v>192</v>
      </c>
      <c r="E81" s="10" t="s">
        <v>47</v>
      </c>
      <c r="F81" s="10" t="s">
        <v>48</v>
      </c>
      <c r="G81" s="9" t="n">
        <v>143.7</v>
      </c>
      <c r="H81" s="10" t="s">
        <v>193</v>
      </c>
      <c r="I81" s="9"/>
    </row>
    <row r="82" customFormat="false" ht="15" hidden="false" customHeight="false" outlineLevel="0" collapsed="false">
      <c r="A82" s="9" t="s">
        <v>19</v>
      </c>
      <c r="B82" s="10" t="s">
        <v>176</v>
      </c>
      <c r="C82" s="10" t="s">
        <v>177</v>
      </c>
      <c r="D82" s="10" t="s">
        <v>194</v>
      </c>
      <c r="E82" s="10" t="s">
        <v>47</v>
      </c>
      <c r="F82" s="10" t="s">
        <v>48</v>
      </c>
      <c r="G82" s="9" t="n">
        <v>145.6</v>
      </c>
      <c r="H82" s="10" t="s">
        <v>195</v>
      </c>
      <c r="I82" s="9"/>
    </row>
    <row r="83" customFormat="false" ht="15" hidden="false" customHeight="false" outlineLevel="0" collapsed="false">
      <c r="A83" s="9" t="s">
        <v>19</v>
      </c>
      <c r="B83" s="10" t="s">
        <v>176</v>
      </c>
      <c r="C83" s="10" t="s">
        <v>177</v>
      </c>
      <c r="D83" s="10" t="s">
        <v>196</v>
      </c>
      <c r="E83" s="10" t="s">
        <v>47</v>
      </c>
      <c r="F83" s="10" t="s">
        <v>48</v>
      </c>
      <c r="G83" s="9" t="n">
        <v>120</v>
      </c>
      <c r="H83" s="10" t="s">
        <v>197</v>
      </c>
      <c r="I83" s="9"/>
    </row>
    <row r="84" customFormat="false" ht="15" hidden="false" customHeight="false" outlineLevel="0" collapsed="false">
      <c r="A84" s="9" t="s">
        <v>19</v>
      </c>
      <c r="B84" s="10" t="s">
        <v>176</v>
      </c>
      <c r="C84" s="10" t="s">
        <v>177</v>
      </c>
      <c r="D84" s="10" t="s">
        <v>198</v>
      </c>
      <c r="E84" s="10" t="s">
        <v>47</v>
      </c>
      <c r="F84" s="10" t="s">
        <v>48</v>
      </c>
      <c r="G84" s="9" t="n">
        <v>143.1</v>
      </c>
      <c r="H84" s="10" t="s">
        <v>191</v>
      </c>
      <c r="I84" s="9"/>
    </row>
    <row r="85" customFormat="false" ht="15" hidden="false" customHeight="false" outlineLevel="0" collapsed="false">
      <c r="A85" s="9" t="s">
        <v>19</v>
      </c>
      <c r="B85" s="10" t="s">
        <v>176</v>
      </c>
      <c r="C85" s="10" t="s">
        <v>177</v>
      </c>
      <c r="D85" s="10" t="s">
        <v>199</v>
      </c>
      <c r="E85" s="10" t="s">
        <v>47</v>
      </c>
      <c r="F85" s="10" t="s">
        <v>48</v>
      </c>
      <c r="G85" s="9" t="n">
        <v>259.9</v>
      </c>
      <c r="H85" s="10" t="s">
        <v>200</v>
      </c>
      <c r="I85" s="9"/>
    </row>
    <row r="86" customFormat="false" ht="15" hidden="false" customHeight="false" outlineLevel="0" collapsed="false">
      <c r="A86" s="9" t="s">
        <v>19</v>
      </c>
      <c r="B86" s="10" t="s">
        <v>176</v>
      </c>
      <c r="C86" s="10" t="s">
        <v>177</v>
      </c>
      <c r="D86" s="10" t="s">
        <v>201</v>
      </c>
      <c r="E86" s="10" t="s">
        <v>47</v>
      </c>
      <c r="F86" s="10" t="s">
        <v>48</v>
      </c>
      <c r="G86" s="9" t="n">
        <v>209.4</v>
      </c>
      <c r="H86" s="10" t="s">
        <v>202</v>
      </c>
      <c r="I86" s="9"/>
    </row>
    <row r="87" customFormat="false" ht="15" hidden="false" customHeight="false" outlineLevel="0" collapsed="false">
      <c r="A87" s="9" t="s">
        <v>19</v>
      </c>
      <c r="B87" s="10" t="s">
        <v>176</v>
      </c>
      <c r="C87" s="10" t="s">
        <v>177</v>
      </c>
      <c r="D87" s="10" t="s">
        <v>203</v>
      </c>
      <c r="E87" s="10" t="s">
        <v>47</v>
      </c>
      <c r="F87" s="10" t="s">
        <v>48</v>
      </c>
      <c r="G87" s="9" t="n">
        <v>197.7</v>
      </c>
      <c r="H87" s="10" t="s">
        <v>204</v>
      </c>
      <c r="I87" s="9"/>
    </row>
    <row r="88" customFormat="false" ht="15" hidden="false" customHeight="false" outlineLevel="0" collapsed="false">
      <c r="A88" s="9" t="s">
        <v>19</v>
      </c>
      <c r="B88" s="10" t="s">
        <v>176</v>
      </c>
      <c r="C88" s="10" t="s">
        <v>177</v>
      </c>
      <c r="D88" s="10" t="s">
        <v>205</v>
      </c>
      <c r="E88" s="10" t="s">
        <v>47</v>
      </c>
      <c r="F88" s="10" t="s">
        <v>48</v>
      </c>
      <c r="G88" s="9" t="n">
        <v>302</v>
      </c>
      <c r="H88" s="10" t="s">
        <v>206</v>
      </c>
      <c r="I88" s="9"/>
    </row>
    <row r="89" customFormat="false" ht="15" hidden="false" customHeight="false" outlineLevel="0" collapsed="false">
      <c r="A89" s="9" t="s">
        <v>19</v>
      </c>
      <c r="B89" s="10" t="s">
        <v>176</v>
      </c>
      <c r="C89" s="10" t="s">
        <v>177</v>
      </c>
      <c r="D89" s="10" t="s">
        <v>207</v>
      </c>
      <c r="E89" s="10" t="s">
        <v>47</v>
      </c>
      <c r="F89" s="10" t="s">
        <v>48</v>
      </c>
      <c r="G89" s="9" t="n">
        <v>145.4</v>
      </c>
      <c r="H89" s="10" t="s">
        <v>208</v>
      </c>
      <c r="I89" s="9"/>
    </row>
    <row r="90" customFormat="false" ht="15" hidden="false" customHeight="false" outlineLevel="0" collapsed="false">
      <c r="A90" s="9" t="s">
        <v>19</v>
      </c>
      <c r="B90" s="10" t="s">
        <v>176</v>
      </c>
      <c r="C90" s="10" t="s">
        <v>177</v>
      </c>
      <c r="D90" s="10" t="s">
        <v>209</v>
      </c>
      <c r="E90" s="10" t="s">
        <v>47</v>
      </c>
      <c r="F90" s="10" t="s">
        <v>48</v>
      </c>
      <c r="G90" s="9" t="n">
        <v>116.6</v>
      </c>
      <c r="H90" s="10" t="s">
        <v>210</v>
      </c>
      <c r="I90" s="9"/>
    </row>
    <row r="91" customFormat="false" ht="15" hidden="false" customHeight="false" outlineLevel="0" collapsed="false">
      <c r="A91" s="9" t="s">
        <v>19</v>
      </c>
      <c r="B91" s="10" t="s">
        <v>90</v>
      </c>
      <c r="C91" s="10" t="s">
        <v>211</v>
      </c>
      <c r="D91" s="10" t="s">
        <v>212</v>
      </c>
      <c r="E91" s="10" t="s">
        <v>47</v>
      </c>
      <c r="F91" s="10" t="s">
        <v>48</v>
      </c>
      <c r="G91" s="9" t="n">
        <v>400.9</v>
      </c>
      <c r="H91" s="10" t="s">
        <v>213</v>
      </c>
      <c r="I91" s="9"/>
    </row>
    <row r="92" customFormat="false" ht="15" hidden="false" customHeight="false" outlineLevel="0" collapsed="false">
      <c r="A92" s="9" t="s">
        <v>19</v>
      </c>
      <c r="B92" s="10" t="s">
        <v>90</v>
      </c>
      <c r="C92" s="10" t="s">
        <v>211</v>
      </c>
      <c r="D92" s="10" t="s">
        <v>214</v>
      </c>
      <c r="E92" s="10" t="s">
        <v>47</v>
      </c>
      <c r="F92" s="10" t="s">
        <v>58</v>
      </c>
      <c r="G92" s="9" t="n">
        <v>622.7</v>
      </c>
      <c r="H92" s="10" t="s">
        <v>213</v>
      </c>
      <c r="I92" s="9"/>
    </row>
    <row r="93" customFormat="false" ht="15" hidden="false" customHeight="false" outlineLevel="0" collapsed="false">
      <c r="A93" s="9" t="s">
        <v>19</v>
      </c>
      <c r="B93" s="10" t="s">
        <v>90</v>
      </c>
      <c r="C93" s="10" t="s">
        <v>211</v>
      </c>
      <c r="D93" s="10" t="s">
        <v>215</v>
      </c>
      <c r="E93" s="10" t="s">
        <v>47</v>
      </c>
      <c r="F93" s="10" t="s">
        <v>48</v>
      </c>
      <c r="G93" s="9" t="n">
        <v>1128.4</v>
      </c>
      <c r="H93" s="10" t="s">
        <v>213</v>
      </c>
      <c r="I93" s="9"/>
    </row>
    <row r="94" customFormat="false" ht="15" hidden="false" customHeight="false" outlineLevel="0" collapsed="false">
      <c r="A94" s="9" t="s">
        <v>19</v>
      </c>
      <c r="B94" s="10" t="s">
        <v>90</v>
      </c>
      <c r="C94" s="10" t="s">
        <v>211</v>
      </c>
      <c r="D94" s="10" t="s">
        <v>216</v>
      </c>
      <c r="E94" s="10" t="s">
        <v>47</v>
      </c>
      <c r="F94" s="10" t="s">
        <v>48</v>
      </c>
      <c r="G94" s="9" t="n">
        <v>462.7</v>
      </c>
      <c r="H94" s="10" t="s">
        <v>213</v>
      </c>
      <c r="I94" s="9"/>
    </row>
    <row r="95" customFormat="false" ht="15" hidden="false" customHeight="false" outlineLevel="0" collapsed="false">
      <c r="A95" s="9" t="s">
        <v>19</v>
      </c>
      <c r="B95" s="10" t="s">
        <v>90</v>
      </c>
      <c r="C95" s="10" t="s">
        <v>211</v>
      </c>
      <c r="D95" s="10" t="s">
        <v>217</v>
      </c>
      <c r="E95" s="10" t="s">
        <v>47</v>
      </c>
      <c r="F95" s="10" t="s">
        <v>48</v>
      </c>
      <c r="G95" s="9" t="n">
        <v>676.2</v>
      </c>
      <c r="H95" s="10" t="s">
        <v>218</v>
      </c>
      <c r="I95" s="9"/>
    </row>
    <row r="96" customFormat="false" ht="15" hidden="false" customHeight="false" outlineLevel="0" collapsed="false">
      <c r="A96" s="9" t="s">
        <v>19</v>
      </c>
      <c r="B96" s="10" t="s">
        <v>90</v>
      </c>
      <c r="C96" s="10" t="s">
        <v>211</v>
      </c>
      <c r="D96" s="10" t="s">
        <v>219</v>
      </c>
      <c r="E96" s="10" t="s">
        <v>47</v>
      </c>
      <c r="F96" s="10" t="s">
        <v>48</v>
      </c>
      <c r="G96" s="9" t="n">
        <v>372.9</v>
      </c>
      <c r="H96" s="10" t="s">
        <v>220</v>
      </c>
      <c r="I96" s="9"/>
    </row>
    <row r="97" customFormat="false" ht="15" hidden="false" customHeight="false" outlineLevel="0" collapsed="false">
      <c r="A97" s="9" t="s">
        <v>19</v>
      </c>
      <c r="B97" s="10" t="s">
        <v>90</v>
      </c>
      <c r="C97" s="10" t="s">
        <v>211</v>
      </c>
      <c r="D97" s="10" t="s">
        <v>221</v>
      </c>
      <c r="E97" s="10" t="s">
        <v>47</v>
      </c>
      <c r="F97" s="10" t="s">
        <v>48</v>
      </c>
      <c r="G97" s="9" t="n">
        <v>164.6</v>
      </c>
      <c r="H97" s="10" t="s">
        <v>222</v>
      </c>
      <c r="I97" s="9"/>
    </row>
    <row r="98" customFormat="false" ht="15" hidden="false" customHeight="false" outlineLevel="0" collapsed="false">
      <c r="A98" s="9" t="s">
        <v>19</v>
      </c>
      <c r="B98" s="10" t="s">
        <v>90</v>
      </c>
      <c r="C98" s="10" t="s">
        <v>211</v>
      </c>
      <c r="D98" s="10" t="s">
        <v>223</v>
      </c>
      <c r="E98" s="10" t="s">
        <v>47</v>
      </c>
      <c r="F98" s="10" t="s">
        <v>48</v>
      </c>
      <c r="G98" s="9" t="n">
        <v>127.8</v>
      </c>
      <c r="H98" s="10" t="s">
        <v>224</v>
      </c>
      <c r="I98" s="9"/>
    </row>
    <row r="99" customFormat="false" ht="15" hidden="false" customHeight="false" outlineLevel="0" collapsed="false">
      <c r="A99" s="9" t="s">
        <v>19</v>
      </c>
      <c r="B99" s="10" t="s">
        <v>90</v>
      </c>
      <c r="C99" s="10" t="s">
        <v>211</v>
      </c>
      <c r="D99" s="10" t="s">
        <v>225</v>
      </c>
      <c r="E99" s="10" t="s">
        <v>226</v>
      </c>
      <c r="F99" s="10" t="s">
        <v>227</v>
      </c>
      <c r="G99" s="9" t="n">
        <v>21</v>
      </c>
      <c r="H99" s="10" t="s">
        <v>224</v>
      </c>
      <c r="I99" s="9"/>
    </row>
    <row r="100" customFormat="false" ht="15" hidden="false" customHeight="false" outlineLevel="0" collapsed="false">
      <c r="A100" s="9" t="s">
        <v>19</v>
      </c>
      <c r="B100" s="10" t="s">
        <v>90</v>
      </c>
      <c r="C100" s="10" t="s">
        <v>211</v>
      </c>
      <c r="D100" s="10" t="s">
        <v>228</v>
      </c>
      <c r="E100" s="10" t="s">
        <v>47</v>
      </c>
      <c r="F100" s="10" t="s">
        <v>48</v>
      </c>
      <c r="G100" s="9" t="n">
        <v>129.9</v>
      </c>
      <c r="H100" s="10" t="s">
        <v>229</v>
      </c>
      <c r="I100" s="9"/>
    </row>
    <row r="101" customFormat="false" ht="15" hidden="false" customHeight="false" outlineLevel="0" collapsed="false">
      <c r="A101" s="9" t="s">
        <v>19</v>
      </c>
      <c r="B101" s="10" t="s">
        <v>90</v>
      </c>
      <c r="C101" s="10" t="s">
        <v>211</v>
      </c>
      <c r="D101" s="10" t="s">
        <v>230</v>
      </c>
      <c r="E101" s="10" t="s">
        <v>47</v>
      </c>
      <c r="F101" s="10" t="s">
        <v>48</v>
      </c>
      <c r="G101" s="9" t="n">
        <v>269.5</v>
      </c>
      <c r="H101" s="10" t="s">
        <v>231</v>
      </c>
      <c r="I101" s="9"/>
    </row>
    <row r="102" customFormat="false" ht="15" hidden="false" customHeight="false" outlineLevel="0" collapsed="false">
      <c r="A102" s="9" t="s">
        <v>19</v>
      </c>
      <c r="B102" s="10" t="s">
        <v>90</v>
      </c>
      <c r="C102" s="10" t="s">
        <v>211</v>
      </c>
      <c r="D102" s="10" t="s">
        <v>232</v>
      </c>
      <c r="E102" s="10" t="s">
        <v>47</v>
      </c>
      <c r="F102" s="10" t="s">
        <v>48</v>
      </c>
      <c r="G102" s="9" t="n">
        <v>113.6</v>
      </c>
      <c r="H102" s="10" t="s">
        <v>231</v>
      </c>
      <c r="I102" s="9"/>
    </row>
    <row r="103" customFormat="false" ht="15" hidden="false" customHeight="false" outlineLevel="0" collapsed="false">
      <c r="A103" s="9" t="s">
        <v>19</v>
      </c>
      <c r="B103" s="10" t="s">
        <v>90</v>
      </c>
      <c r="C103" s="10" t="s">
        <v>211</v>
      </c>
      <c r="D103" s="10" t="s">
        <v>233</v>
      </c>
      <c r="E103" s="10" t="s">
        <v>47</v>
      </c>
      <c r="F103" s="10" t="s">
        <v>48</v>
      </c>
      <c r="G103" s="9" t="n">
        <v>115.3</v>
      </c>
      <c r="H103" s="10" t="s">
        <v>231</v>
      </c>
      <c r="I103" s="9"/>
    </row>
    <row r="104" customFormat="false" ht="15" hidden="false" customHeight="false" outlineLevel="0" collapsed="false">
      <c r="A104" s="9" t="s">
        <v>19</v>
      </c>
      <c r="B104" s="10" t="s">
        <v>90</v>
      </c>
      <c r="C104" s="10" t="s">
        <v>211</v>
      </c>
      <c r="D104" s="10" t="s">
        <v>234</v>
      </c>
      <c r="E104" s="10" t="s">
        <v>47</v>
      </c>
      <c r="F104" s="10" t="s">
        <v>48</v>
      </c>
      <c r="G104" s="9" t="n">
        <v>118.6</v>
      </c>
      <c r="H104" s="10" t="s">
        <v>235</v>
      </c>
      <c r="I104" s="9"/>
    </row>
    <row r="105" customFormat="false" ht="15" hidden="false" customHeight="false" outlineLevel="0" collapsed="false">
      <c r="A105" s="9" t="s">
        <v>19</v>
      </c>
      <c r="B105" s="10" t="s">
        <v>90</v>
      </c>
      <c r="C105" s="10" t="s">
        <v>211</v>
      </c>
      <c r="D105" s="9" t="s">
        <v>236</v>
      </c>
      <c r="E105" s="10" t="s">
        <v>47</v>
      </c>
      <c r="F105" s="10" t="s">
        <v>237</v>
      </c>
      <c r="G105" s="9" t="n">
        <v>826</v>
      </c>
      <c r="H105" s="10" t="s">
        <v>238</v>
      </c>
      <c r="I105" s="9"/>
    </row>
    <row r="106" customFormat="false" ht="15" hidden="false" customHeight="false" outlineLevel="0" collapsed="false">
      <c r="A106" s="9" t="s">
        <v>19</v>
      </c>
      <c r="B106" s="10" t="s">
        <v>90</v>
      </c>
      <c r="C106" s="10" t="s">
        <v>239</v>
      </c>
      <c r="D106" s="10" t="s">
        <v>240</v>
      </c>
      <c r="E106" s="10" t="s">
        <v>47</v>
      </c>
      <c r="F106" s="10" t="s">
        <v>48</v>
      </c>
      <c r="G106" s="9" t="n">
        <v>136.2</v>
      </c>
      <c r="H106" s="10" t="s">
        <v>235</v>
      </c>
      <c r="I106" s="9"/>
    </row>
    <row r="107" customFormat="false" ht="15" hidden="false" customHeight="false" outlineLevel="0" collapsed="false">
      <c r="A107" s="9" t="s">
        <v>19</v>
      </c>
      <c r="B107" s="10" t="s">
        <v>90</v>
      </c>
      <c r="C107" s="10" t="s">
        <v>239</v>
      </c>
      <c r="D107" s="10" t="s">
        <v>241</v>
      </c>
      <c r="E107" s="10" t="s">
        <v>47</v>
      </c>
      <c r="F107" s="10" t="s">
        <v>48</v>
      </c>
      <c r="G107" s="9" t="n">
        <v>115.9</v>
      </c>
      <c r="H107" s="10" t="s">
        <v>59</v>
      </c>
      <c r="I107" s="9"/>
    </row>
    <row r="108" customFormat="false" ht="15" hidden="false" customHeight="false" outlineLevel="0" collapsed="false">
      <c r="A108" s="9" t="s">
        <v>19</v>
      </c>
      <c r="B108" s="10" t="s">
        <v>90</v>
      </c>
      <c r="C108" s="10" t="s">
        <v>239</v>
      </c>
      <c r="D108" s="10" t="s">
        <v>242</v>
      </c>
      <c r="E108" s="10" t="s">
        <v>47</v>
      </c>
      <c r="F108" s="10" t="s">
        <v>48</v>
      </c>
      <c r="G108" s="9" t="n">
        <v>139.2</v>
      </c>
      <c r="H108" s="10" t="s">
        <v>243</v>
      </c>
      <c r="I108" s="9"/>
    </row>
    <row r="109" customFormat="false" ht="15" hidden="false" customHeight="false" outlineLevel="0" collapsed="false">
      <c r="A109" s="9" t="s">
        <v>19</v>
      </c>
      <c r="B109" s="10" t="s">
        <v>90</v>
      </c>
      <c r="C109" s="10" t="s">
        <v>239</v>
      </c>
      <c r="D109" s="10" t="s">
        <v>244</v>
      </c>
      <c r="E109" s="10" t="s">
        <v>47</v>
      </c>
      <c r="F109" s="10" t="s">
        <v>48</v>
      </c>
      <c r="G109" s="9" t="n">
        <v>126</v>
      </c>
      <c r="H109" s="10" t="s">
        <v>98</v>
      </c>
      <c r="I109" s="9"/>
    </row>
    <row r="110" customFormat="false" ht="15" hidden="false" customHeight="false" outlineLevel="0" collapsed="false">
      <c r="A110" s="9" t="s">
        <v>19</v>
      </c>
      <c r="B110" s="10" t="s">
        <v>90</v>
      </c>
      <c r="C110" s="10" t="s">
        <v>239</v>
      </c>
      <c r="D110" s="10" t="s">
        <v>245</v>
      </c>
      <c r="E110" s="10" t="s">
        <v>47</v>
      </c>
      <c r="F110" s="10" t="s">
        <v>48</v>
      </c>
      <c r="G110" s="9" t="n">
        <v>539.6</v>
      </c>
      <c r="H110" s="10" t="s">
        <v>246</v>
      </c>
      <c r="I110" s="9"/>
    </row>
    <row r="111" customFormat="false" ht="15" hidden="false" customHeight="false" outlineLevel="0" collapsed="false">
      <c r="A111" s="9" t="s">
        <v>19</v>
      </c>
      <c r="B111" s="10" t="s">
        <v>90</v>
      </c>
      <c r="C111" s="10" t="s">
        <v>239</v>
      </c>
      <c r="D111" s="10" t="s">
        <v>247</v>
      </c>
      <c r="E111" s="10" t="s">
        <v>47</v>
      </c>
      <c r="F111" s="10" t="s">
        <v>48</v>
      </c>
      <c r="G111" s="9" t="n">
        <v>833.7</v>
      </c>
      <c r="H111" s="10" t="s">
        <v>248</v>
      </c>
      <c r="I111" s="9"/>
    </row>
    <row r="112" customFormat="false" ht="15" hidden="false" customHeight="false" outlineLevel="0" collapsed="false">
      <c r="A112" s="9" t="s">
        <v>19</v>
      </c>
      <c r="B112" s="10" t="s">
        <v>90</v>
      </c>
      <c r="C112" s="10" t="s">
        <v>239</v>
      </c>
      <c r="D112" s="10" t="s">
        <v>249</v>
      </c>
      <c r="E112" s="10" t="s">
        <v>47</v>
      </c>
      <c r="F112" s="10" t="s">
        <v>48</v>
      </c>
      <c r="G112" s="9" t="n">
        <v>897.4</v>
      </c>
      <c r="H112" s="10" t="s">
        <v>250</v>
      </c>
      <c r="I112" s="9"/>
    </row>
    <row r="113" customFormat="false" ht="15" hidden="false" customHeight="false" outlineLevel="0" collapsed="false">
      <c r="A113" s="9" t="s">
        <v>19</v>
      </c>
      <c r="B113" s="10" t="s">
        <v>90</v>
      </c>
      <c r="C113" s="10" t="s">
        <v>239</v>
      </c>
      <c r="D113" s="10" t="s">
        <v>251</v>
      </c>
      <c r="E113" s="10" t="s">
        <v>47</v>
      </c>
      <c r="F113" s="10" t="s">
        <v>48</v>
      </c>
      <c r="G113" s="9" t="n">
        <v>126.8</v>
      </c>
      <c r="H113" s="10" t="s">
        <v>252</v>
      </c>
      <c r="I113" s="9"/>
    </row>
    <row r="114" customFormat="false" ht="15" hidden="false" customHeight="false" outlineLevel="0" collapsed="false">
      <c r="A114" s="9" t="s">
        <v>19</v>
      </c>
      <c r="B114" s="10" t="s">
        <v>90</v>
      </c>
      <c r="C114" s="10" t="s">
        <v>239</v>
      </c>
      <c r="D114" s="10" t="s">
        <v>253</v>
      </c>
      <c r="E114" s="10" t="s">
        <v>47</v>
      </c>
      <c r="F114" s="10" t="s">
        <v>48</v>
      </c>
      <c r="G114" s="9" t="n">
        <v>277.5</v>
      </c>
      <c r="H114" s="10" t="s">
        <v>252</v>
      </c>
      <c r="I114" s="9"/>
    </row>
    <row r="115" customFormat="false" ht="15" hidden="false" customHeight="false" outlineLevel="0" collapsed="false">
      <c r="A115" s="9" t="s">
        <v>19</v>
      </c>
      <c r="B115" s="10" t="s">
        <v>90</v>
      </c>
      <c r="C115" s="10" t="s">
        <v>239</v>
      </c>
      <c r="D115" s="10" t="s">
        <v>254</v>
      </c>
      <c r="E115" s="10" t="s">
        <v>226</v>
      </c>
      <c r="F115" s="10" t="s">
        <v>227</v>
      </c>
      <c r="G115" s="9" t="n">
        <v>403.7</v>
      </c>
      <c r="H115" s="10" t="s">
        <v>252</v>
      </c>
      <c r="I115" s="9"/>
    </row>
    <row r="116" customFormat="false" ht="15" hidden="false" customHeight="false" outlineLevel="0" collapsed="false">
      <c r="A116" s="9" t="s">
        <v>19</v>
      </c>
      <c r="B116" s="10" t="s">
        <v>90</v>
      </c>
      <c r="C116" s="10" t="s">
        <v>239</v>
      </c>
      <c r="D116" s="10" t="s">
        <v>255</v>
      </c>
      <c r="E116" s="10" t="s">
        <v>47</v>
      </c>
      <c r="F116" s="10" t="s">
        <v>48</v>
      </c>
      <c r="G116" s="9" t="n">
        <v>120.8</v>
      </c>
      <c r="H116" s="10" t="s">
        <v>252</v>
      </c>
      <c r="I116" s="9"/>
    </row>
    <row r="117" customFormat="false" ht="15" hidden="false" customHeight="false" outlineLevel="0" collapsed="false">
      <c r="A117" s="9" t="s">
        <v>19</v>
      </c>
      <c r="B117" s="10" t="s">
        <v>90</v>
      </c>
      <c r="C117" s="10" t="s">
        <v>239</v>
      </c>
      <c r="D117" s="10" t="s">
        <v>256</v>
      </c>
      <c r="E117" s="10" t="s">
        <v>47</v>
      </c>
      <c r="F117" s="10" t="s">
        <v>48</v>
      </c>
      <c r="G117" s="9" t="n">
        <v>115.4</v>
      </c>
      <c r="H117" s="10" t="s">
        <v>61</v>
      </c>
      <c r="I117" s="9"/>
    </row>
    <row r="118" customFormat="false" ht="15" hidden="false" customHeight="false" outlineLevel="0" collapsed="false">
      <c r="A118" s="9" t="s">
        <v>19</v>
      </c>
      <c r="B118" s="10" t="s">
        <v>90</v>
      </c>
      <c r="C118" s="10" t="s">
        <v>239</v>
      </c>
      <c r="D118" s="10" t="s">
        <v>257</v>
      </c>
      <c r="E118" s="10" t="s">
        <v>47</v>
      </c>
      <c r="F118" s="10" t="s">
        <v>48</v>
      </c>
      <c r="G118" s="9" t="n">
        <v>176.6</v>
      </c>
      <c r="H118" s="10" t="s">
        <v>248</v>
      </c>
      <c r="I118" s="9"/>
    </row>
    <row r="119" customFormat="false" ht="15" hidden="false" customHeight="false" outlineLevel="0" collapsed="false">
      <c r="A119" s="9" t="s">
        <v>19</v>
      </c>
      <c r="B119" s="10" t="s">
        <v>90</v>
      </c>
      <c r="C119" s="10" t="s">
        <v>239</v>
      </c>
      <c r="D119" s="10" t="s">
        <v>258</v>
      </c>
      <c r="E119" s="10" t="s">
        <v>47</v>
      </c>
      <c r="F119" s="10" t="s">
        <v>48</v>
      </c>
      <c r="G119" s="9" t="n">
        <v>406.5</v>
      </c>
      <c r="H119" s="10" t="s">
        <v>259</v>
      </c>
      <c r="I119" s="9"/>
    </row>
    <row r="120" customFormat="false" ht="15" hidden="false" customHeight="false" outlineLevel="0" collapsed="false">
      <c r="A120" s="9" t="s">
        <v>19</v>
      </c>
      <c r="B120" s="10" t="s">
        <v>90</v>
      </c>
      <c r="C120" s="10" t="s">
        <v>239</v>
      </c>
      <c r="D120" s="10" t="s">
        <v>260</v>
      </c>
      <c r="E120" s="10" t="s">
        <v>47</v>
      </c>
      <c r="F120" s="10" t="s">
        <v>48</v>
      </c>
      <c r="G120" s="9" t="n">
        <v>120.9</v>
      </c>
      <c r="H120" s="10" t="s">
        <v>261</v>
      </c>
      <c r="I120" s="9"/>
    </row>
    <row r="121" customFormat="false" ht="15" hidden="false" customHeight="false" outlineLevel="0" collapsed="false">
      <c r="A121" s="9" t="s">
        <v>19</v>
      </c>
      <c r="B121" s="10" t="s">
        <v>90</v>
      </c>
      <c r="C121" s="10" t="s">
        <v>239</v>
      </c>
      <c r="D121" s="10" t="s">
        <v>262</v>
      </c>
      <c r="E121" s="10" t="s">
        <v>47</v>
      </c>
      <c r="F121" s="10" t="s">
        <v>48</v>
      </c>
      <c r="G121" s="9" t="n">
        <v>191.1</v>
      </c>
      <c r="H121" s="10" t="s">
        <v>259</v>
      </c>
      <c r="I121" s="9"/>
    </row>
    <row r="122" customFormat="false" ht="15" hidden="false" customHeight="false" outlineLevel="0" collapsed="false">
      <c r="A122" s="9" t="s">
        <v>19</v>
      </c>
      <c r="B122" s="10" t="s">
        <v>90</v>
      </c>
      <c r="C122" s="10" t="s">
        <v>239</v>
      </c>
      <c r="D122" s="10" t="s">
        <v>263</v>
      </c>
      <c r="E122" s="10" t="s">
        <v>47</v>
      </c>
      <c r="F122" s="10" t="s">
        <v>48</v>
      </c>
      <c r="G122" s="9" t="n">
        <v>453.2</v>
      </c>
      <c r="H122" s="10" t="s">
        <v>264</v>
      </c>
      <c r="I122" s="9"/>
    </row>
    <row r="123" customFormat="false" ht="15" hidden="false" customHeight="false" outlineLevel="0" collapsed="false">
      <c r="A123" s="9" t="s">
        <v>19</v>
      </c>
      <c r="B123" s="10" t="s">
        <v>90</v>
      </c>
      <c r="C123" s="10" t="s">
        <v>239</v>
      </c>
      <c r="D123" s="10" t="s">
        <v>265</v>
      </c>
      <c r="E123" s="10" t="s">
        <v>47</v>
      </c>
      <c r="F123" s="10" t="s">
        <v>48</v>
      </c>
      <c r="G123" s="9" t="n">
        <v>2727.8</v>
      </c>
      <c r="H123" s="10" t="s">
        <v>147</v>
      </c>
      <c r="I123" s="9"/>
    </row>
    <row r="124" customFormat="false" ht="15" hidden="false" customHeight="false" outlineLevel="0" collapsed="false">
      <c r="A124" s="9" t="s">
        <v>19</v>
      </c>
      <c r="B124" s="10" t="s">
        <v>90</v>
      </c>
      <c r="C124" s="10" t="s">
        <v>239</v>
      </c>
      <c r="D124" s="10" t="s">
        <v>266</v>
      </c>
      <c r="E124" s="10" t="s">
        <v>47</v>
      </c>
      <c r="F124" s="10" t="s">
        <v>48</v>
      </c>
      <c r="G124" s="9" t="n">
        <v>453.5</v>
      </c>
      <c r="H124" s="10" t="s">
        <v>267</v>
      </c>
      <c r="I124" s="9"/>
    </row>
    <row r="125" customFormat="false" ht="15" hidden="false" customHeight="false" outlineLevel="0" collapsed="false">
      <c r="A125" s="9" t="s">
        <v>19</v>
      </c>
      <c r="B125" s="10" t="s">
        <v>90</v>
      </c>
      <c r="C125" s="10" t="s">
        <v>239</v>
      </c>
      <c r="D125" s="10" t="s">
        <v>268</v>
      </c>
      <c r="E125" s="10" t="s">
        <v>47</v>
      </c>
      <c r="F125" s="10" t="s">
        <v>48</v>
      </c>
      <c r="G125" s="9" t="n">
        <v>453.5</v>
      </c>
      <c r="H125" s="10" t="s">
        <v>269</v>
      </c>
      <c r="I125" s="9"/>
    </row>
    <row r="126" customFormat="false" ht="15" hidden="false" customHeight="false" outlineLevel="0" collapsed="false">
      <c r="A126" s="9" t="s">
        <v>19</v>
      </c>
      <c r="B126" s="10" t="s">
        <v>90</v>
      </c>
      <c r="C126" s="10" t="s">
        <v>239</v>
      </c>
      <c r="D126" s="10" t="s">
        <v>270</v>
      </c>
      <c r="E126" s="10" t="s">
        <v>47</v>
      </c>
      <c r="F126" s="10" t="s">
        <v>58</v>
      </c>
      <c r="G126" s="9" t="n">
        <v>230.2</v>
      </c>
      <c r="H126" s="10" t="s">
        <v>269</v>
      </c>
      <c r="I126" s="9"/>
    </row>
    <row r="127" customFormat="false" ht="15" hidden="false" customHeight="false" outlineLevel="0" collapsed="false">
      <c r="A127" s="9" t="s">
        <v>19</v>
      </c>
      <c r="B127" s="10" t="s">
        <v>90</v>
      </c>
      <c r="C127" s="10" t="s">
        <v>239</v>
      </c>
      <c r="D127" s="10" t="s">
        <v>271</v>
      </c>
      <c r="E127" s="10" t="s">
        <v>47</v>
      </c>
      <c r="F127" s="10" t="s">
        <v>58</v>
      </c>
      <c r="G127" s="9" t="n">
        <v>169.7</v>
      </c>
      <c r="H127" s="10" t="s">
        <v>272</v>
      </c>
      <c r="I127" s="9"/>
    </row>
    <row r="128" customFormat="false" ht="15" hidden="false" customHeight="false" outlineLevel="0" collapsed="false">
      <c r="A128" s="9" t="s">
        <v>20</v>
      </c>
      <c r="B128" s="10" t="s">
        <v>65</v>
      </c>
      <c r="C128" s="10" t="s">
        <v>273</v>
      </c>
      <c r="D128" s="9" t="s">
        <v>274</v>
      </c>
      <c r="E128" s="10" t="s">
        <v>47</v>
      </c>
      <c r="F128" s="10" t="s">
        <v>58</v>
      </c>
      <c r="G128" s="9" t="n">
        <v>181.5</v>
      </c>
      <c r="H128" s="10" t="s">
        <v>275</v>
      </c>
      <c r="I128" s="9"/>
    </row>
    <row r="129" customFormat="false" ht="15" hidden="false" customHeight="false" outlineLevel="0" collapsed="false">
      <c r="A129" s="9" t="s">
        <v>20</v>
      </c>
      <c r="B129" s="10" t="s">
        <v>276</v>
      </c>
      <c r="C129" s="10" t="s">
        <v>277</v>
      </c>
      <c r="D129" s="9" t="s">
        <v>278</v>
      </c>
      <c r="E129" s="10" t="s">
        <v>47</v>
      </c>
      <c r="F129" s="10" t="s">
        <v>48</v>
      </c>
      <c r="G129" s="9" t="n">
        <v>296.9</v>
      </c>
      <c r="H129" s="10" t="s">
        <v>279</v>
      </c>
      <c r="I129" s="9"/>
    </row>
    <row r="130" customFormat="false" ht="15" hidden="false" customHeight="false" outlineLevel="0" collapsed="false">
      <c r="A130" s="9" t="s">
        <v>20</v>
      </c>
      <c r="B130" s="10" t="s">
        <v>280</v>
      </c>
      <c r="C130" s="10" t="s">
        <v>281</v>
      </c>
      <c r="D130" s="10" t="s">
        <v>282</v>
      </c>
      <c r="E130" s="10" t="s">
        <v>47</v>
      </c>
      <c r="F130" s="10" t="s">
        <v>48</v>
      </c>
      <c r="G130" s="9" t="n">
        <v>126.5</v>
      </c>
      <c r="H130" s="10" t="s">
        <v>283</v>
      </c>
      <c r="I130" s="9"/>
    </row>
    <row r="131" customFormat="false" ht="15" hidden="false" customHeight="false" outlineLevel="0" collapsed="false">
      <c r="A131" s="9" t="s">
        <v>20</v>
      </c>
      <c r="B131" s="10" t="s">
        <v>280</v>
      </c>
      <c r="C131" s="10" t="s">
        <v>281</v>
      </c>
      <c r="D131" s="10" t="s">
        <v>284</v>
      </c>
      <c r="E131" s="10" t="s">
        <v>47</v>
      </c>
      <c r="F131" s="10" t="s">
        <v>48</v>
      </c>
      <c r="G131" s="9" t="n">
        <v>138.8</v>
      </c>
      <c r="H131" s="10" t="s">
        <v>285</v>
      </c>
      <c r="I131" s="9"/>
    </row>
    <row r="132" customFormat="false" ht="15" hidden="false" customHeight="false" outlineLevel="0" collapsed="false">
      <c r="A132" s="9" t="s">
        <v>20</v>
      </c>
      <c r="B132" s="10" t="s">
        <v>280</v>
      </c>
      <c r="C132" s="10" t="s">
        <v>281</v>
      </c>
      <c r="D132" s="10" t="s">
        <v>286</v>
      </c>
      <c r="E132" s="10" t="s">
        <v>47</v>
      </c>
      <c r="F132" s="10" t="s">
        <v>48</v>
      </c>
      <c r="G132" s="9" t="n">
        <v>115.9</v>
      </c>
      <c r="H132" s="10" t="s">
        <v>283</v>
      </c>
      <c r="I132" s="9"/>
    </row>
    <row r="133" customFormat="false" ht="15" hidden="false" customHeight="false" outlineLevel="0" collapsed="false">
      <c r="A133" s="9" t="s">
        <v>20</v>
      </c>
      <c r="B133" s="10" t="s">
        <v>280</v>
      </c>
      <c r="C133" s="10" t="s">
        <v>281</v>
      </c>
      <c r="D133" s="10" t="s">
        <v>287</v>
      </c>
      <c r="E133" s="10" t="s">
        <v>47</v>
      </c>
      <c r="F133" s="10" t="s">
        <v>48</v>
      </c>
      <c r="G133" s="9" t="n">
        <v>221.8</v>
      </c>
      <c r="H133" s="10" t="s">
        <v>288</v>
      </c>
      <c r="I133" s="9"/>
    </row>
    <row r="134" customFormat="false" ht="15" hidden="false" customHeight="false" outlineLevel="0" collapsed="false">
      <c r="A134" s="9" t="s">
        <v>20</v>
      </c>
      <c r="B134" s="10" t="s">
        <v>280</v>
      </c>
      <c r="C134" s="10" t="s">
        <v>281</v>
      </c>
      <c r="D134" s="10" t="s">
        <v>289</v>
      </c>
      <c r="E134" s="10" t="s">
        <v>47</v>
      </c>
      <c r="F134" s="10" t="s">
        <v>48</v>
      </c>
      <c r="G134" s="9" t="n">
        <v>7084.1</v>
      </c>
      <c r="H134" s="10" t="s">
        <v>290</v>
      </c>
      <c r="I134" s="9"/>
    </row>
    <row r="135" customFormat="false" ht="15" hidden="false" customHeight="false" outlineLevel="0" collapsed="false">
      <c r="A135" s="9" t="s">
        <v>20</v>
      </c>
      <c r="B135" s="10" t="s">
        <v>280</v>
      </c>
      <c r="C135" s="10" t="s">
        <v>281</v>
      </c>
      <c r="D135" s="10" t="s">
        <v>291</v>
      </c>
      <c r="E135" s="10" t="s">
        <v>47</v>
      </c>
      <c r="F135" s="10" t="s">
        <v>58</v>
      </c>
      <c r="G135" s="9" t="n">
        <v>3167.4</v>
      </c>
      <c r="H135" s="10" t="s">
        <v>292</v>
      </c>
      <c r="I135" s="9"/>
    </row>
    <row r="136" customFormat="false" ht="15" hidden="false" customHeight="false" outlineLevel="0" collapsed="false">
      <c r="A136" s="9" t="s">
        <v>20</v>
      </c>
      <c r="B136" s="10" t="s">
        <v>280</v>
      </c>
      <c r="C136" s="10" t="s">
        <v>281</v>
      </c>
      <c r="D136" s="10" t="s">
        <v>293</v>
      </c>
      <c r="E136" s="10" t="s">
        <v>47</v>
      </c>
      <c r="F136" s="10" t="s">
        <v>48</v>
      </c>
      <c r="G136" s="9" t="n">
        <v>161.6</v>
      </c>
      <c r="H136" s="10" t="s">
        <v>288</v>
      </c>
      <c r="I136" s="9"/>
    </row>
    <row r="137" customFormat="false" ht="15" hidden="false" customHeight="false" outlineLevel="0" collapsed="false">
      <c r="A137" s="9" t="s">
        <v>20</v>
      </c>
      <c r="B137" s="10" t="s">
        <v>280</v>
      </c>
      <c r="C137" s="10" t="s">
        <v>281</v>
      </c>
      <c r="D137" s="10" t="s">
        <v>294</v>
      </c>
      <c r="E137" s="10" t="s">
        <v>47</v>
      </c>
      <c r="F137" s="10" t="s">
        <v>48</v>
      </c>
      <c r="G137" s="9" t="n">
        <v>9851.1</v>
      </c>
      <c r="H137" s="10" t="s">
        <v>295</v>
      </c>
      <c r="I137" s="9"/>
    </row>
    <row r="138" customFormat="false" ht="15" hidden="false" customHeight="false" outlineLevel="0" collapsed="false">
      <c r="A138" s="9" t="s">
        <v>20</v>
      </c>
      <c r="B138" s="10" t="s">
        <v>280</v>
      </c>
      <c r="C138" s="10" t="s">
        <v>281</v>
      </c>
      <c r="D138" s="10" t="s">
        <v>296</v>
      </c>
      <c r="E138" s="10" t="s">
        <v>47</v>
      </c>
      <c r="F138" s="10" t="s">
        <v>48</v>
      </c>
      <c r="G138" s="9" t="n">
        <v>5305.3</v>
      </c>
      <c r="H138" s="10" t="s">
        <v>292</v>
      </c>
      <c r="I138" s="9"/>
    </row>
    <row r="139" customFormat="false" ht="15" hidden="false" customHeight="false" outlineLevel="0" collapsed="false">
      <c r="A139" s="9" t="s">
        <v>20</v>
      </c>
      <c r="B139" s="10" t="s">
        <v>280</v>
      </c>
      <c r="C139" s="10" t="s">
        <v>281</v>
      </c>
      <c r="D139" s="10" t="s">
        <v>297</v>
      </c>
      <c r="E139" s="10" t="s">
        <v>47</v>
      </c>
      <c r="F139" s="10" t="s">
        <v>48</v>
      </c>
      <c r="G139" s="9" t="n">
        <v>5305.3</v>
      </c>
      <c r="H139" s="10" t="s">
        <v>292</v>
      </c>
      <c r="I139" s="9"/>
    </row>
    <row r="140" customFormat="false" ht="15" hidden="false" customHeight="false" outlineLevel="0" collapsed="false">
      <c r="A140" s="9" t="s">
        <v>20</v>
      </c>
      <c r="B140" s="10" t="s">
        <v>280</v>
      </c>
      <c r="C140" s="10" t="s">
        <v>281</v>
      </c>
      <c r="D140" s="10" t="s">
        <v>298</v>
      </c>
      <c r="E140" s="10" t="s">
        <v>47</v>
      </c>
      <c r="F140" s="10" t="s">
        <v>48</v>
      </c>
      <c r="G140" s="9" t="n">
        <v>4831.6</v>
      </c>
      <c r="H140" s="10" t="s">
        <v>292</v>
      </c>
      <c r="I140" s="9"/>
    </row>
    <row r="141" customFormat="false" ht="15" hidden="false" customHeight="false" outlineLevel="0" collapsed="false">
      <c r="A141" s="9" t="s">
        <v>20</v>
      </c>
      <c r="B141" s="10" t="s">
        <v>280</v>
      </c>
      <c r="C141" s="10" t="s">
        <v>281</v>
      </c>
      <c r="D141" s="10" t="s">
        <v>299</v>
      </c>
      <c r="E141" s="10" t="s">
        <v>47</v>
      </c>
      <c r="F141" s="10" t="s">
        <v>48</v>
      </c>
      <c r="G141" s="9" t="n">
        <v>7254.9</v>
      </c>
      <c r="H141" s="10" t="s">
        <v>292</v>
      </c>
      <c r="I141" s="9"/>
    </row>
    <row r="142" customFormat="false" ht="15" hidden="false" customHeight="false" outlineLevel="0" collapsed="false">
      <c r="A142" s="9" t="s">
        <v>20</v>
      </c>
      <c r="B142" s="10" t="s">
        <v>280</v>
      </c>
      <c r="C142" s="10" t="s">
        <v>281</v>
      </c>
      <c r="D142" s="10" t="s">
        <v>300</v>
      </c>
      <c r="E142" s="10" t="s">
        <v>47</v>
      </c>
      <c r="F142" s="10" t="s">
        <v>48</v>
      </c>
      <c r="G142" s="9" t="n">
        <v>4532.3</v>
      </c>
      <c r="H142" s="10" t="s">
        <v>295</v>
      </c>
      <c r="I142" s="9"/>
    </row>
    <row r="143" customFormat="false" ht="15" hidden="false" customHeight="false" outlineLevel="0" collapsed="false">
      <c r="A143" s="9" t="s">
        <v>20</v>
      </c>
      <c r="B143" s="10" t="s">
        <v>280</v>
      </c>
      <c r="C143" s="10" t="s">
        <v>281</v>
      </c>
      <c r="D143" s="10" t="s">
        <v>301</v>
      </c>
      <c r="E143" s="10" t="s">
        <v>47</v>
      </c>
      <c r="F143" s="10" t="s">
        <v>48</v>
      </c>
      <c r="G143" s="9" t="n">
        <v>606.5</v>
      </c>
      <c r="H143" s="10" t="s">
        <v>302</v>
      </c>
      <c r="I143" s="9"/>
    </row>
    <row r="144" customFormat="false" ht="15" hidden="false" customHeight="false" outlineLevel="0" collapsed="false">
      <c r="A144" s="9" t="s">
        <v>20</v>
      </c>
      <c r="B144" s="10" t="s">
        <v>280</v>
      </c>
      <c r="C144" s="10" t="s">
        <v>281</v>
      </c>
      <c r="D144" s="9" t="s">
        <v>303</v>
      </c>
      <c r="E144" s="10" t="s">
        <v>47</v>
      </c>
      <c r="F144" s="10" t="s">
        <v>48</v>
      </c>
      <c r="G144" s="9" t="n">
        <v>119.2</v>
      </c>
      <c r="H144" s="10" t="s">
        <v>304</v>
      </c>
      <c r="I144" s="9"/>
    </row>
    <row r="145" customFormat="false" ht="15" hidden="false" customHeight="false" outlineLevel="0" collapsed="false">
      <c r="A145" s="9" t="s">
        <v>20</v>
      </c>
      <c r="B145" s="10" t="s">
        <v>280</v>
      </c>
      <c r="C145" s="10" t="s">
        <v>281</v>
      </c>
      <c r="D145" s="9" t="s">
        <v>305</v>
      </c>
      <c r="E145" s="10" t="s">
        <v>47</v>
      </c>
      <c r="F145" s="10" t="s">
        <v>48</v>
      </c>
      <c r="G145" s="9" t="n">
        <v>122.1</v>
      </c>
      <c r="H145" s="10" t="s">
        <v>304</v>
      </c>
      <c r="I145" s="9"/>
    </row>
    <row r="146" customFormat="false" ht="15" hidden="false" customHeight="false" outlineLevel="0" collapsed="false">
      <c r="A146" s="9" t="s">
        <v>21</v>
      </c>
      <c r="B146" s="10" t="s">
        <v>104</v>
      </c>
      <c r="C146" s="10" t="s">
        <v>306</v>
      </c>
      <c r="D146" s="10" t="s">
        <v>307</v>
      </c>
      <c r="E146" s="10" t="s">
        <v>47</v>
      </c>
      <c r="F146" s="10" t="s">
        <v>48</v>
      </c>
      <c r="G146" s="9" t="n">
        <v>5940</v>
      </c>
      <c r="H146" s="10" t="s">
        <v>308</v>
      </c>
      <c r="I146" s="9"/>
    </row>
    <row r="147" customFormat="false" ht="15" hidden="false" customHeight="false" outlineLevel="0" collapsed="false">
      <c r="A147" s="9" t="s">
        <v>21</v>
      </c>
      <c r="B147" s="10" t="s">
        <v>104</v>
      </c>
      <c r="C147" s="10" t="s">
        <v>306</v>
      </c>
      <c r="D147" s="10" t="s">
        <v>309</v>
      </c>
      <c r="E147" s="10" t="s">
        <v>47</v>
      </c>
      <c r="F147" s="10" t="s">
        <v>48</v>
      </c>
      <c r="G147" s="9" t="n">
        <v>4371.4</v>
      </c>
      <c r="H147" s="10" t="s">
        <v>308</v>
      </c>
      <c r="I147" s="9"/>
    </row>
    <row r="148" customFormat="false" ht="15" hidden="false" customHeight="false" outlineLevel="0" collapsed="false">
      <c r="A148" s="9" t="s">
        <v>21</v>
      </c>
      <c r="B148" s="10" t="s">
        <v>104</v>
      </c>
      <c r="C148" s="10" t="s">
        <v>306</v>
      </c>
      <c r="D148" s="10" t="s">
        <v>310</v>
      </c>
      <c r="E148" s="10" t="s">
        <v>47</v>
      </c>
      <c r="F148" s="10" t="s">
        <v>48</v>
      </c>
      <c r="G148" s="9" t="n">
        <v>155.9</v>
      </c>
      <c r="H148" s="10" t="s">
        <v>311</v>
      </c>
      <c r="I148" s="9"/>
    </row>
    <row r="149" customFormat="false" ht="15" hidden="false" customHeight="false" outlineLevel="0" collapsed="false">
      <c r="A149" s="9" t="s">
        <v>21</v>
      </c>
      <c r="B149" s="10" t="s">
        <v>104</v>
      </c>
      <c r="C149" s="10" t="s">
        <v>306</v>
      </c>
      <c r="D149" s="10" t="s">
        <v>312</v>
      </c>
      <c r="E149" s="10" t="s">
        <v>47</v>
      </c>
      <c r="F149" s="10" t="s">
        <v>48</v>
      </c>
      <c r="G149" s="9" t="n">
        <v>130.9</v>
      </c>
      <c r="H149" s="10" t="s">
        <v>313</v>
      </c>
      <c r="I149" s="9"/>
    </row>
    <row r="150" customFormat="false" ht="15" hidden="false" customHeight="false" outlineLevel="0" collapsed="false">
      <c r="A150" s="9" t="s">
        <v>21</v>
      </c>
      <c r="B150" s="10" t="s">
        <v>104</v>
      </c>
      <c r="C150" s="10" t="s">
        <v>306</v>
      </c>
      <c r="D150" s="10" t="s">
        <v>314</v>
      </c>
      <c r="E150" s="10" t="s">
        <v>47</v>
      </c>
      <c r="F150" s="10" t="s">
        <v>48</v>
      </c>
      <c r="G150" s="9" t="n">
        <v>123.6</v>
      </c>
      <c r="H150" s="10" t="s">
        <v>315</v>
      </c>
      <c r="I150" s="9"/>
    </row>
    <row r="151" customFormat="false" ht="15" hidden="false" customHeight="false" outlineLevel="0" collapsed="false">
      <c r="A151" s="9" t="s">
        <v>21</v>
      </c>
      <c r="B151" s="10" t="s">
        <v>104</v>
      </c>
      <c r="C151" s="10" t="s">
        <v>306</v>
      </c>
      <c r="D151" s="10" t="s">
        <v>316</v>
      </c>
      <c r="E151" s="10" t="s">
        <v>47</v>
      </c>
      <c r="F151" s="10" t="s">
        <v>48</v>
      </c>
      <c r="G151" s="9" t="n">
        <v>134.5</v>
      </c>
      <c r="H151" s="10" t="s">
        <v>317</v>
      </c>
      <c r="I151" s="9"/>
    </row>
    <row r="152" customFormat="false" ht="15" hidden="false" customHeight="false" outlineLevel="0" collapsed="false">
      <c r="A152" s="9" t="s">
        <v>21</v>
      </c>
      <c r="B152" s="10" t="s">
        <v>104</v>
      </c>
      <c r="C152" s="10" t="s">
        <v>306</v>
      </c>
      <c r="D152" s="10" t="s">
        <v>318</v>
      </c>
      <c r="E152" s="10" t="s">
        <v>47</v>
      </c>
      <c r="F152" s="10" t="s">
        <v>48</v>
      </c>
      <c r="G152" s="9" t="n">
        <v>119.9</v>
      </c>
      <c r="H152" s="10" t="s">
        <v>319</v>
      </c>
      <c r="I152" s="9"/>
    </row>
    <row r="153" customFormat="false" ht="15" hidden="false" customHeight="false" outlineLevel="0" collapsed="false">
      <c r="A153" s="9" t="s">
        <v>21</v>
      </c>
      <c r="B153" s="10" t="s">
        <v>104</v>
      </c>
      <c r="C153" s="10" t="s">
        <v>306</v>
      </c>
      <c r="D153" s="10" t="s">
        <v>320</v>
      </c>
      <c r="E153" s="10" t="s">
        <v>47</v>
      </c>
      <c r="F153" s="10" t="s">
        <v>48</v>
      </c>
      <c r="G153" s="9" t="n">
        <v>116.1</v>
      </c>
      <c r="H153" s="10" t="s">
        <v>319</v>
      </c>
      <c r="I153" s="9"/>
    </row>
    <row r="154" customFormat="false" ht="15" hidden="false" customHeight="false" outlineLevel="0" collapsed="false">
      <c r="A154" s="9" t="s">
        <v>21</v>
      </c>
      <c r="B154" s="10" t="s">
        <v>104</v>
      </c>
      <c r="C154" s="10" t="s">
        <v>306</v>
      </c>
      <c r="D154" s="10" t="s">
        <v>321</v>
      </c>
      <c r="E154" s="10" t="s">
        <v>47</v>
      </c>
      <c r="F154" s="10" t="s">
        <v>48</v>
      </c>
      <c r="G154" s="9" t="n">
        <v>132.5</v>
      </c>
      <c r="H154" s="10" t="s">
        <v>322</v>
      </c>
      <c r="I154" s="9"/>
    </row>
    <row r="155" customFormat="false" ht="15" hidden="false" customHeight="false" outlineLevel="0" collapsed="false">
      <c r="A155" s="9" t="s">
        <v>21</v>
      </c>
      <c r="B155" s="10" t="s">
        <v>104</v>
      </c>
      <c r="C155" s="10" t="s">
        <v>306</v>
      </c>
      <c r="D155" s="10" t="s">
        <v>323</v>
      </c>
      <c r="E155" s="10" t="s">
        <v>47</v>
      </c>
      <c r="F155" s="10" t="s">
        <v>48</v>
      </c>
      <c r="G155" s="9" t="n">
        <v>114.6</v>
      </c>
      <c r="H155" s="10" t="s">
        <v>315</v>
      </c>
      <c r="I155" s="9"/>
    </row>
    <row r="156" customFormat="false" ht="15" hidden="false" customHeight="false" outlineLevel="0" collapsed="false">
      <c r="A156" s="9" t="s">
        <v>21</v>
      </c>
      <c r="B156" s="10" t="s">
        <v>104</v>
      </c>
      <c r="C156" s="10" t="s">
        <v>306</v>
      </c>
      <c r="D156" s="10" t="s">
        <v>324</v>
      </c>
      <c r="E156" s="10" t="s">
        <v>47</v>
      </c>
      <c r="F156" s="10" t="s">
        <v>58</v>
      </c>
      <c r="G156" s="9" t="n">
        <v>16.8</v>
      </c>
      <c r="H156" s="10" t="s">
        <v>115</v>
      </c>
      <c r="I156" s="9"/>
    </row>
    <row r="157" customFormat="false" ht="15" hidden="false" customHeight="false" outlineLevel="0" collapsed="false">
      <c r="A157" s="9" t="s">
        <v>21</v>
      </c>
      <c r="B157" s="10" t="s">
        <v>104</v>
      </c>
      <c r="C157" s="10" t="s">
        <v>306</v>
      </c>
      <c r="D157" s="10" t="s">
        <v>325</v>
      </c>
      <c r="E157" s="10" t="s">
        <v>47</v>
      </c>
      <c r="F157" s="10" t="s">
        <v>48</v>
      </c>
      <c r="G157" s="9" t="n">
        <v>116.3</v>
      </c>
      <c r="H157" s="10" t="s">
        <v>326</v>
      </c>
      <c r="I157" s="9"/>
    </row>
    <row r="158" customFormat="false" ht="15" hidden="false" customHeight="false" outlineLevel="0" collapsed="false">
      <c r="A158" s="9" t="s">
        <v>21</v>
      </c>
      <c r="B158" s="10" t="s">
        <v>104</v>
      </c>
      <c r="C158" s="10" t="s">
        <v>306</v>
      </c>
      <c r="D158" s="10" t="s">
        <v>327</v>
      </c>
      <c r="E158" s="10" t="s">
        <v>47</v>
      </c>
      <c r="F158" s="10" t="s">
        <v>48</v>
      </c>
      <c r="G158" s="9" t="n">
        <v>147.3</v>
      </c>
      <c r="H158" s="10" t="s">
        <v>322</v>
      </c>
      <c r="I158" s="9"/>
    </row>
    <row r="159" customFormat="false" ht="15" hidden="false" customHeight="false" outlineLevel="0" collapsed="false">
      <c r="A159" s="9" t="s">
        <v>21</v>
      </c>
      <c r="B159" s="10" t="s">
        <v>104</v>
      </c>
      <c r="C159" s="10" t="s">
        <v>306</v>
      </c>
      <c r="D159" s="10" t="s">
        <v>328</v>
      </c>
      <c r="E159" s="10" t="s">
        <v>47</v>
      </c>
      <c r="F159" s="10" t="s">
        <v>48</v>
      </c>
      <c r="G159" s="9" t="n">
        <v>116.2</v>
      </c>
      <c r="H159" s="10" t="s">
        <v>115</v>
      </c>
      <c r="I159" s="9"/>
    </row>
    <row r="160" customFormat="false" ht="15" hidden="false" customHeight="false" outlineLevel="0" collapsed="false">
      <c r="A160" s="9" t="s">
        <v>21</v>
      </c>
      <c r="B160" s="10" t="s">
        <v>104</v>
      </c>
      <c r="C160" s="10" t="s">
        <v>306</v>
      </c>
      <c r="D160" s="10" t="s">
        <v>329</v>
      </c>
      <c r="E160" s="10" t="s">
        <v>47</v>
      </c>
      <c r="F160" s="10" t="s">
        <v>48</v>
      </c>
      <c r="G160" s="9" t="n">
        <v>117.7</v>
      </c>
      <c r="H160" s="10" t="s">
        <v>330</v>
      </c>
      <c r="I160" s="9"/>
    </row>
    <row r="161" customFormat="false" ht="15" hidden="false" customHeight="false" outlineLevel="0" collapsed="false">
      <c r="A161" s="9" t="s">
        <v>21</v>
      </c>
      <c r="B161" s="10" t="s">
        <v>104</v>
      </c>
      <c r="C161" s="10" t="s">
        <v>306</v>
      </c>
      <c r="D161" s="10" t="s">
        <v>331</v>
      </c>
      <c r="E161" s="10" t="s">
        <v>47</v>
      </c>
      <c r="F161" s="10" t="s">
        <v>48</v>
      </c>
      <c r="G161" s="9" t="n">
        <v>194.5</v>
      </c>
      <c r="H161" s="10" t="s">
        <v>332</v>
      </c>
      <c r="I161" s="9"/>
    </row>
    <row r="162" customFormat="false" ht="15" hidden="false" customHeight="false" outlineLevel="0" collapsed="false">
      <c r="A162" s="9" t="s">
        <v>21</v>
      </c>
      <c r="B162" s="10" t="s">
        <v>104</v>
      </c>
      <c r="C162" s="10" t="s">
        <v>306</v>
      </c>
      <c r="D162" s="10" t="s">
        <v>333</v>
      </c>
      <c r="E162" s="10" t="s">
        <v>47</v>
      </c>
      <c r="F162" s="10" t="s">
        <v>48</v>
      </c>
      <c r="G162" s="9" t="n">
        <v>142.4</v>
      </c>
      <c r="H162" s="10" t="s">
        <v>313</v>
      </c>
      <c r="I162" s="9"/>
    </row>
    <row r="163" customFormat="false" ht="15" hidden="false" customHeight="false" outlineLevel="0" collapsed="false">
      <c r="A163" s="9" t="s">
        <v>21</v>
      </c>
      <c r="B163" s="10" t="s">
        <v>104</v>
      </c>
      <c r="C163" s="10" t="s">
        <v>306</v>
      </c>
      <c r="D163" s="10" t="s">
        <v>334</v>
      </c>
      <c r="E163" s="10" t="s">
        <v>47</v>
      </c>
      <c r="F163" s="10" t="s">
        <v>48</v>
      </c>
      <c r="G163" s="9" t="n">
        <v>119.4</v>
      </c>
      <c r="H163" s="10" t="s">
        <v>335</v>
      </c>
      <c r="I163" s="9"/>
    </row>
    <row r="164" customFormat="false" ht="15" hidden="false" customHeight="false" outlineLevel="0" collapsed="false">
      <c r="A164" s="9" t="s">
        <v>21</v>
      </c>
      <c r="B164" s="10" t="s">
        <v>104</v>
      </c>
      <c r="C164" s="10" t="s">
        <v>306</v>
      </c>
      <c r="D164" s="10" t="s">
        <v>336</v>
      </c>
      <c r="E164" s="10" t="s">
        <v>47</v>
      </c>
      <c r="F164" s="10" t="s">
        <v>48</v>
      </c>
      <c r="G164" s="9" t="n">
        <v>115.2</v>
      </c>
      <c r="H164" s="10" t="s">
        <v>337</v>
      </c>
      <c r="I164" s="9"/>
    </row>
    <row r="165" customFormat="false" ht="15" hidden="false" customHeight="false" outlineLevel="0" collapsed="false">
      <c r="A165" s="9" t="s">
        <v>21</v>
      </c>
      <c r="B165" s="10" t="s">
        <v>104</v>
      </c>
      <c r="C165" s="10" t="s">
        <v>306</v>
      </c>
      <c r="D165" s="10" t="s">
        <v>338</v>
      </c>
      <c r="E165" s="10" t="s">
        <v>47</v>
      </c>
      <c r="F165" s="10" t="s">
        <v>48</v>
      </c>
      <c r="G165" s="9" t="n">
        <v>115.7</v>
      </c>
      <c r="H165" s="10" t="s">
        <v>339</v>
      </c>
      <c r="I165" s="9"/>
    </row>
    <row r="166" customFormat="false" ht="15" hidden="false" customHeight="false" outlineLevel="0" collapsed="false">
      <c r="A166" s="9" t="s">
        <v>21</v>
      </c>
      <c r="B166" s="10" t="s">
        <v>104</v>
      </c>
      <c r="C166" s="10" t="s">
        <v>306</v>
      </c>
      <c r="D166" s="10" t="s">
        <v>234</v>
      </c>
      <c r="E166" s="10" t="s">
        <v>47</v>
      </c>
      <c r="F166" s="10" t="s">
        <v>48</v>
      </c>
      <c r="G166" s="9" t="n">
        <v>121.9</v>
      </c>
      <c r="H166" s="10" t="s">
        <v>340</v>
      </c>
      <c r="I166" s="9"/>
    </row>
    <row r="167" customFormat="false" ht="15" hidden="false" customHeight="false" outlineLevel="0" collapsed="false">
      <c r="A167" s="9" t="s">
        <v>21</v>
      </c>
      <c r="B167" s="10" t="s">
        <v>104</v>
      </c>
      <c r="C167" s="10" t="s">
        <v>306</v>
      </c>
      <c r="D167" s="10" t="s">
        <v>341</v>
      </c>
      <c r="E167" s="10" t="s">
        <v>47</v>
      </c>
      <c r="F167" s="10" t="s">
        <v>48</v>
      </c>
      <c r="G167" s="9" t="n">
        <v>120.4</v>
      </c>
      <c r="H167" s="10" t="s">
        <v>342</v>
      </c>
      <c r="I167" s="9"/>
    </row>
    <row r="168" customFormat="false" ht="15" hidden="false" customHeight="false" outlineLevel="0" collapsed="false">
      <c r="A168" s="9" t="s">
        <v>21</v>
      </c>
      <c r="B168" s="10" t="s">
        <v>104</v>
      </c>
      <c r="C168" s="10" t="s">
        <v>306</v>
      </c>
      <c r="D168" s="10" t="s">
        <v>343</v>
      </c>
      <c r="E168" s="10" t="s">
        <v>47</v>
      </c>
      <c r="F168" s="10" t="s">
        <v>48</v>
      </c>
      <c r="G168" s="9" t="n">
        <v>112.8</v>
      </c>
      <c r="H168" s="10" t="s">
        <v>344</v>
      </c>
      <c r="I168" s="9"/>
    </row>
    <row r="169" customFormat="false" ht="15" hidden="false" customHeight="false" outlineLevel="0" collapsed="false">
      <c r="A169" s="9" t="s">
        <v>21</v>
      </c>
      <c r="B169" s="10" t="s">
        <v>104</v>
      </c>
      <c r="C169" s="10" t="s">
        <v>306</v>
      </c>
      <c r="D169" s="10" t="s">
        <v>345</v>
      </c>
      <c r="E169" s="10" t="s">
        <v>47</v>
      </c>
      <c r="F169" s="10" t="s">
        <v>48</v>
      </c>
      <c r="G169" s="9" t="n">
        <v>1114.8</v>
      </c>
      <c r="H169" s="10" t="s">
        <v>346</v>
      </c>
      <c r="I169" s="9"/>
    </row>
    <row r="170" customFormat="false" ht="15" hidden="false" customHeight="false" outlineLevel="0" collapsed="false">
      <c r="A170" s="9" t="s">
        <v>21</v>
      </c>
      <c r="B170" s="10" t="s">
        <v>104</v>
      </c>
      <c r="C170" s="10" t="s">
        <v>306</v>
      </c>
      <c r="D170" s="10" t="s">
        <v>347</v>
      </c>
      <c r="E170" s="10" t="s">
        <v>47</v>
      </c>
      <c r="F170" s="10" t="s">
        <v>48</v>
      </c>
      <c r="G170" s="9" t="n">
        <v>377.8</v>
      </c>
      <c r="H170" s="10" t="s">
        <v>348</v>
      </c>
      <c r="I170" s="9"/>
    </row>
    <row r="171" customFormat="false" ht="15" hidden="false" customHeight="false" outlineLevel="0" collapsed="false">
      <c r="A171" s="9" t="s">
        <v>21</v>
      </c>
      <c r="B171" s="10" t="s">
        <v>104</v>
      </c>
      <c r="C171" s="10" t="s">
        <v>306</v>
      </c>
      <c r="D171" s="9" t="s">
        <v>349</v>
      </c>
      <c r="E171" s="10" t="s">
        <v>47</v>
      </c>
      <c r="F171" s="10" t="s">
        <v>48</v>
      </c>
      <c r="G171" s="9" t="n">
        <v>511.8</v>
      </c>
      <c r="H171" s="10" t="s">
        <v>350</v>
      </c>
      <c r="I171" s="9"/>
    </row>
    <row r="172" customFormat="false" ht="15" hidden="false" customHeight="false" outlineLevel="0" collapsed="false">
      <c r="A172" s="9" t="s">
        <v>21</v>
      </c>
      <c r="B172" s="10" t="s">
        <v>104</v>
      </c>
      <c r="C172" s="10" t="s">
        <v>306</v>
      </c>
      <c r="D172" s="9" t="s">
        <v>351</v>
      </c>
      <c r="E172" s="10" t="s">
        <v>47</v>
      </c>
      <c r="F172" s="10" t="s">
        <v>48</v>
      </c>
      <c r="G172" s="9" t="n">
        <v>702.2</v>
      </c>
      <c r="H172" s="10" t="s">
        <v>350</v>
      </c>
      <c r="I172" s="9"/>
    </row>
    <row r="173" customFormat="false" ht="15" hidden="false" customHeight="false" outlineLevel="0" collapsed="false">
      <c r="A173" s="9" t="s">
        <v>21</v>
      </c>
      <c r="B173" s="10" t="s">
        <v>104</v>
      </c>
      <c r="C173" s="10" t="s">
        <v>306</v>
      </c>
      <c r="D173" s="9" t="s">
        <v>352</v>
      </c>
      <c r="E173" s="10" t="s">
        <v>47</v>
      </c>
      <c r="F173" s="10" t="s">
        <v>48</v>
      </c>
      <c r="G173" s="9" t="n">
        <v>1862.5</v>
      </c>
      <c r="H173" s="10" t="s">
        <v>353</v>
      </c>
      <c r="I173" s="9"/>
    </row>
    <row r="174" customFormat="false" ht="15" hidden="false" customHeight="false" outlineLevel="0" collapsed="false">
      <c r="A174" s="9" t="s">
        <v>21</v>
      </c>
      <c r="B174" s="10" t="s">
        <v>104</v>
      </c>
      <c r="C174" s="10" t="s">
        <v>306</v>
      </c>
      <c r="D174" s="9" t="s">
        <v>354</v>
      </c>
      <c r="E174" s="10" t="s">
        <v>226</v>
      </c>
      <c r="F174" s="10" t="s">
        <v>227</v>
      </c>
      <c r="G174" s="9" t="n">
        <v>370</v>
      </c>
      <c r="H174" s="10" t="s">
        <v>355</v>
      </c>
      <c r="I174" s="9"/>
    </row>
    <row r="175" customFormat="false" ht="15" hidden="false" customHeight="false" outlineLevel="0" collapsed="false">
      <c r="A175" s="9" t="s">
        <v>22</v>
      </c>
      <c r="B175" s="10" t="s">
        <v>356</v>
      </c>
      <c r="C175" s="10" t="s">
        <v>357</v>
      </c>
      <c r="D175" s="10" t="s">
        <v>358</v>
      </c>
      <c r="E175" s="10" t="s">
        <v>47</v>
      </c>
      <c r="F175" s="10" t="s">
        <v>48</v>
      </c>
      <c r="G175" s="9" t="n">
        <v>1900.7</v>
      </c>
      <c r="H175" s="10" t="s">
        <v>158</v>
      </c>
      <c r="I175" s="9"/>
    </row>
    <row r="176" customFormat="false" ht="15" hidden="false" customHeight="false" outlineLevel="0" collapsed="false">
      <c r="A176" s="9" t="s">
        <v>22</v>
      </c>
      <c r="B176" s="10" t="s">
        <v>356</v>
      </c>
      <c r="C176" s="10" t="s">
        <v>357</v>
      </c>
      <c r="D176" s="10" t="s">
        <v>359</v>
      </c>
      <c r="E176" s="10" t="s">
        <v>47</v>
      </c>
      <c r="F176" s="10" t="s">
        <v>48</v>
      </c>
      <c r="G176" s="9" t="n">
        <v>115.1</v>
      </c>
      <c r="H176" s="10" t="s">
        <v>360</v>
      </c>
      <c r="I176" s="9"/>
    </row>
    <row r="177" customFormat="false" ht="15" hidden="false" customHeight="false" outlineLevel="0" collapsed="false">
      <c r="A177" s="9" t="s">
        <v>22</v>
      </c>
      <c r="B177" s="10" t="s">
        <v>356</v>
      </c>
      <c r="C177" s="10" t="s">
        <v>357</v>
      </c>
      <c r="D177" s="10" t="s">
        <v>361</v>
      </c>
      <c r="E177" s="10" t="s">
        <v>47</v>
      </c>
      <c r="F177" s="10" t="s">
        <v>48</v>
      </c>
      <c r="G177" s="9" t="n">
        <v>208.4</v>
      </c>
      <c r="H177" s="10" t="s">
        <v>162</v>
      </c>
      <c r="I177" s="9"/>
    </row>
    <row r="178" customFormat="false" ht="15" hidden="false" customHeight="false" outlineLevel="0" collapsed="false">
      <c r="A178" s="9" t="s">
        <v>22</v>
      </c>
      <c r="B178" s="10" t="s">
        <v>356</v>
      </c>
      <c r="C178" s="10" t="s">
        <v>357</v>
      </c>
      <c r="D178" s="10" t="s">
        <v>362</v>
      </c>
      <c r="E178" s="10" t="s">
        <v>47</v>
      </c>
      <c r="F178" s="10" t="s">
        <v>48</v>
      </c>
      <c r="G178" s="9" t="n">
        <v>199.3</v>
      </c>
      <c r="H178" s="10" t="s">
        <v>175</v>
      </c>
      <c r="I178" s="9"/>
    </row>
    <row r="179" customFormat="false" ht="15" hidden="false" customHeight="false" outlineLevel="0" collapsed="false">
      <c r="A179" s="9" t="s">
        <v>22</v>
      </c>
      <c r="B179" s="10" t="s">
        <v>356</v>
      </c>
      <c r="C179" s="10" t="s">
        <v>357</v>
      </c>
      <c r="D179" s="10" t="s">
        <v>363</v>
      </c>
      <c r="E179" s="10" t="s">
        <v>47</v>
      </c>
      <c r="F179" s="10" t="s">
        <v>58</v>
      </c>
      <c r="G179" s="9" t="n">
        <v>289.9</v>
      </c>
      <c r="H179" s="10" t="s">
        <v>364</v>
      </c>
      <c r="I179" s="9"/>
    </row>
    <row r="180" customFormat="false" ht="15" hidden="false" customHeight="false" outlineLevel="0" collapsed="false">
      <c r="A180" s="9" t="s">
        <v>22</v>
      </c>
      <c r="B180" s="10" t="s">
        <v>356</v>
      </c>
      <c r="C180" s="10" t="s">
        <v>357</v>
      </c>
      <c r="D180" s="10" t="s">
        <v>365</v>
      </c>
      <c r="E180" s="10" t="s">
        <v>47</v>
      </c>
      <c r="F180" s="10" t="s">
        <v>48</v>
      </c>
      <c r="G180" s="9" t="n">
        <v>417.2</v>
      </c>
      <c r="H180" s="10" t="s">
        <v>158</v>
      </c>
      <c r="I180" s="9"/>
    </row>
    <row r="181" customFormat="false" ht="15" hidden="false" customHeight="false" outlineLevel="0" collapsed="false">
      <c r="A181" s="9" t="s">
        <v>22</v>
      </c>
      <c r="B181" s="10" t="s">
        <v>280</v>
      </c>
      <c r="C181" s="10" t="s">
        <v>366</v>
      </c>
      <c r="D181" s="10" t="s">
        <v>367</v>
      </c>
      <c r="E181" s="10" t="s">
        <v>47</v>
      </c>
      <c r="F181" s="9" t="s">
        <v>368</v>
      </c>
      <c r="G181" s="9" t="n">
        <v>0</v>
      </c>
      <c r="H181" s="10" t="s">
        <v>369</v>
      </c>
      <c r="I181" s="9"/>
    </row>
    <row r="182" customFormat="false" ht="15" hidden="false" customHeight="false" outlineLevel="0" collapsed="false">
      <c r="A182" s="9" t="s">
        <v>22</v>
      </c>
      <c r="B182" s="10" t="s">
        <v>280</v>
      </c>
      <c r="C182" s="10" t="s">
        <v>366</v>
      </c>
      <c r="D182" s="10" t="s">
        <v>370</v>
      </c>
      <c r="E182" s="10" t="s">
        <v>47</v>
      </c>
      <c r="F182" s="10" t="s">
        <v>48</v>
      </c>
      <c r="G182" s="9" t="n">
        <v>693.3</v>
      </c>
      <c r="H182" s="10" t="s">
        <v>292</v>
      </c>
      <c r="I182" s="9"/>
    </row>
    <row r="183" customFormat="false" ht="15" hidden="false" customHeight="false" outlineLevel="0" collapsed="false">
      <c r="A183" s="9" t="s">
        <v>22</v>
      </c>
      <c r="B183" s="10" t="s">
        <v>90</v>
      </c>
      <c r="C183" s="10" t="s">
        <v>371</v>
      </c>
      <c r="D183" s="10" t="s">
        <v>372</v>
      </c>
      <c r="E183" s="10" t="s">
        <v>47</v>
      </c>
      <c r="F183" s="10" t="s">
        <v>48</v>
      </c>
      <c r="G183" s="9" t="n">
        <v>2071.8</v>
      </c>
      <c r="H183" s="10" t="s">
        <v>373</v>
      </c>
      <c r="I183" s="9"/>
    </row>
    <row r="184" customFormat="false" ht="15" hidden="false" customHeight="false" outlineLevel="0" collapsed="false">
      <c r="A184" s="9" t="s">
        <v>22</v>
      </c>
      <c r="B184" s="10" t="s">
        <v>90</v>
      </c>
      <c r="C184" s="10" t="s">
        <v>371</v>
      </c>
      <c r="D184" s="10" t="s">
        <v>374</v>
      </c>
      <c r="E184" s="10" t="s">
        <v>47</v>
      </c>
      <c r="F184" s="10" t="s">
        <v>58</v>
      </c>
      <c r="G184" s="9" t="n">
        <v>1662.6</v>
      </c>
      <c r="H184" s="10" t="s">
        <v>373</v>
      </c>
      <c r="I184" s="9"/>
    </row>
    <row r="185" customFormat="false" ht="15" hidden="false" customHeight="false" outlineLevel="0" collapsed="false">
      <c r="A185" s="9" t="s">
        <v>22</v>
      </c>
      <c r="B185" s="10" t="s">
        <v>90</v>
      </c>
      <c r="C185" s="10" t="s">
        <v>371</v>
      </c>
      <c r="D185" s="10" t="s">
        <v>375</v>
      </c>
      <c r="E185" s="10" t="s">
        <v>47</v>
      </c>
      <c r="F185" s="10" t="s">
        <v>48</v>
      </c>
      <c r="G185" s="9" t="n">
        <v>1411.5</v>
      </c>
      <c r="H185" s="10" t="s">
        <v>376</v>
      </c>
      <c r="I185" s="9"/>
    </row>
    <row r="186" customFormat="false" ht="15" hidden="false" customHeight="false" outlineLevel="0" collapsed="false">
      <c r="A186" s="9" t="s">
        <v>22</v>
      </c>
      <c r="B186" s="10" t="s">
        <v>90</v>
      </c>
      <c r="C186" s="10" t="s">
        <v>371</v>
      </c>
      <c r="D186" s="10" t="s">
        <v>377</v>
      </c>
      <c r="E186" s="10" t="s">
        <v>47</v>
      </c>
      <c r="F186" s="10" t="s">
        <v>48</v>
      </c>
      <c r="G186" s="9" t="n">
        <v>2725.5</v>
      </c>
      <c r="H186" s="10" t="s">
        <v>378</v>
      </c>
      <c r="I186" s="9"/>
    </row>
    <row r="187" customFormat="false" ht="15" hidden="false" customHeight="false" outlineLevel="0" collapsed="false">
      <c r="A187" s="9" t="s">
        <v>22</v>
      </c>
      <c r="B187" s="10" t="s">
        <v>90</v>
      </c>
      <c r="C187" s="10" t="s">
        <v>371</v>
      </c>
      <c r="D187" s="10" t="s">
        <v>379</v>
      </c>
      <c r="E187" s="10" t="s">
        <v>47</v>
      </c>
      <c r="F187" s="10" t="s">
        <v>48</v>
      </c>
      <c r="G187" s="9" t="n">
        <v>156</v>
      </c>
      <c r="H187" s="10" t="s">
        <v>380</v>
      </c>
      <c r="I187" s="9"/>
    </row>
    <row r="188" customFormat="false" ht="15" hidden="false" customHeight="false" outlineLevel="0" collapsed="false">
      <c r="A188" s="9" t="s">
        <v>22</v>
      </c>
      <c r="B188" s="10" t="s">
        <v>90</v>
      </c>
      <c r="C188" s="10" t="s">
        <v>371</v>
      </c>
      <c r="D188" s="10" t="s">
        <v>381</v>
      </c>
      <c r="E188" s="10" t="s">
        <v>47</v>
      </c>
      <c r="F188" s="10" t="s">
        <v>48</v>
      </c>
      <c r="G188" s="9" t="n">
        <v>539.3</v>
      </c>
      <c r="H188" s="10" t="s">
        <v>378</v>
      </c>
      <c r="I188" s="9"/>
    </row>
    <row r="189" customFormat="false" ht="15" hidden="false" customHeight="false" outlineLevel="0" collapsed="false">
      <c r="A189" s="9" t="s">
        <v>22</v>
      </c>
      <c r="B189" s="10" t="s">
        <v>90</v>
      </c>
      <c r="C189" s="10" t="s">
        <v>371</v>
      </c>
      <c r="D189" s="10" t="s">
        <v>382</v>
      </c>
      <c r="E189" s="10" t="s">
        <v>47</v>
      </c>
      <c r="F189" s="10" t="s">
        <v>48</v>
      </c>
      <c r="G189" s="9" t="n">
        <v>165.4</v>
      </c>
      <c r="H189" s="10" t="s">
        <v>383</v>
      </c>
      <c r="I189" s="9"/>
    </row>
    <row r="190" customFormat="false" ht="15" hidden="false" customHeight="false" outlineLevel="0" collapsed="false">
      <c r="A190" s="9" t="s">
        <v>22</v>
      </c>
      <c r="B190" s="10" t="s">
        <v>90</v>
      </c>
      <c r="C190" s="10" t="s">
        <v>371</v>
      </c>
      <c r="D190" s="10" t="s">
        <v>384</v>
      </c>
      <c r="E190" s="10" t="s">
        <v>47</v>
      </c>
      <c r="F190" s="10" t="s">
        <v>48</v>
      </c>
      <c r="G190" s="9" t="n">
        <v>872.1</v>
      </c>
      <c r="H190" s="10" t="s">
        <v>385</v>
      </c>
      <c r="I190" s="9"/>
    </row>
    <row r="191" customFormat="false" ht="15" hidden="false" customHeight="false" outlineLevel="0" collapsed="false">
      <c r="A191" s="9" t="s">
        <v>22</v>
      </c>
      <c r="B191" s="10" t="s">
        <v>90</v>
      </c>
      <c r="C191" s="10" t="s">
        <v>371</v>
      </c>
      <c r="D191" s="10" t="s">
        <v>265</v>
      </c>
      <c r="E191" s="10" t="s">
        <v>47</v>
      </c>
      <c r="F191" s="10" t="s">
        <v>48</v>
      </c>
      <c r="G191" s="9" t="n">
        <v>2757.6</v>
      </c>
      <c r="H191" s="10" t="s">
        <v>147</v>
      </c>
      <c r="I191" s="9"/>
    </row>
    <row r="192" customFormat="false" ht="15" hidden="false" customHeight="false" outlineLevel="0" collapsed="false">
      <c r="A192" s="9" t="s">
        <v>22</v>
      </c>
      <c r="B192" s="10" t="s">
        <v>90</v>
      </c>
      <c r="C192" s="10" t="s">
        <v>371</v>
      </c>
      <c r="D192" s="10" t="s">
        <v>386</v>
      </c>
      <c r="E192" s="10" t="s">
        <v>47</v>
      </c>
      <c r="F192" s="10" t="s">
        <v>387</v>
      </c>
      <c r="G192" s="9" t="n">
        <v>897.9</v>
      </c>
      <c r="H192" s="10" t="s">
        <v>388</v>
      </c>
      <c r="I192" s="9"/>
    </row>
    <row r="193" customFormat="false" ht="15" hidden="false" customHeight="false" outlineLevel="0" collapsed="false">
      <c r="A193" s="9" t="s">
        <v>22</v>
      </c>
      <c r="B193" s="10" t="s">
        <v>90</v>
      </c>
      <c r="C193" s="10" t="s">
        <v>371</v>
      </c>
      <c r="D193" s="10" t="s">
        <v>389</v>
      </c>
      <c r="E193" s="10" t="s">
        <v>47</v>
      </c>
      <c r="F193" s="10" t="s">
        <v>48</v>
      </c>
      <c r="G193" s="9" t="n">
        <v>1824.6</v>
      </c>
      <c r="H193" s="10" t="s">
        <v>390</v>
      </c>
      <c r="I193" s="9"/>
    </row>
    <row r="194" customFormat="false" ht="15" hidden="false" customHeight="false" outlineLevel="0" collapsed="false">
      <c r="A194" s="9" t="s">
        <v>22</v>
      </c>
      <c r="B194" s="10" t="s">
        <v>90</v>
      </c>
      <c r="C194" s="10" t="s">
        <v>371</v>
      </c>
      <c r="D194" s="10" t="s">
        <v>391</v>
      </c>
      <c r="E194" s="10" t="s">
        <v>47</v>
      </c>
      <c r="F194" s="10" t="s">
        <v>48</v>
      </c>
      <c r="G194" s="9" t="n">
        <v>1392.8</v>
      </c>
      <c r="H194" s="10" t="s">
        <v>373</v>
      </c>
      <c r="I194" s="9"/>
    </row>
    <row r="195" customFormat="false" ht="15" hidden="false" customHeight="false" outlineLevel="0" collapsed="false">
      <c r="A195" s="9" t="s">
        <v>22</v>
      </c>
      <c r="B195" s="10" t="s">
        <v>90</v>
      </c>
      <c r="C195" s="10" t="s">
        <v>371</v>
      </c>
      <c r="D195" s="10" t="s">
        <v>392</v>
      </c>
      <c r="E195" s="10" t="s">
        <v>47</v>
      </c>
      <c r="F195" s="10" t="s">
        <v>48</v>
      </c>
      <c r="G195" s="9" t="n">
        <v>1653.8</v>
      </c>
      <c r="H195" s="10" t="s">
        <v>147</v>
      </c>
      <c r="I195" s="9"/>
    </row>
    <row r="196" customFormat="false" ht="15" hidden="false" customHeight="false" outlineLevel="0" collapsed="false">
      <c r="A196" s="9" t="s">
        <v>22</v>
      </c>
      <c r="B196" s="10" t="s">
        <v>90</v>
      </c>
      <c r="C196" s="10" t="s">
        <v>371</v>
      </c>
      <c r="D196" s="10" t="s">
        <v>393</v>
      </c>
      <c r="E196" s="10" t="s">
        <v>47</v>
      </c>
      <c r="F196" s="10" t="s">
        <v>48</v>
      </c>
      <c r="G196" s="9" t="n">
        <v>1307.7</v>
      </c>
      <c r="H196" s="10" t="s">
        <v>394</v>
      </c>
      <c r="I196" s="9"/>
    </row>
    <row r="197" customFormat="false" ht="15" hidden="false" customHeight="false" outlineLevel="0" collapsed="false">
      <c r="A197" s="9" t="s">
        <v>22</v>
      </c>
      <c r="B197" s="10" t="s">
        <v>90</v>
      </c>
      <c r="C197" s="10" t="s">
        <v>371</v>
      </c>
      <c r="D197" s="10" t="s">
        <v>395</v>
      </c>
      <c r="E197" s="10" t="s">
        <v>47</v>
      </c>
      <c r="F197" s="10" t="s">
        <v>48</v>
      </c>
      <c r="G197" s="9" t="n">
        <v>3608.4</v>
      </c>
      <c r="H197" s="10" t="s">
        <v>390</v>
      </c>
      <c r="I197" s="9"/>
    </row>
    <row r="198" customFormat="false" ht="15" hidden="false" customHeight="false" outlineLevel="0" collapsed="false">
      <c r="A198" s="9" t="s">
        <v>22</v>
      </c>
      <c r="B198" s="10" t="s">
        <v>90</v>
      </c>
      <c r="C198" s="10" t="s">
        <v>371</v>
      </c>
      <c r="D198" s="9" t="s">
        <v>396</v>
      </c>
      <c r="E198" s="10" t="s">
        <v>47</v>
      </c>
      <c r="F198" s="10" t="s">
        <v>48</v>
      </c>
      <c r="G198" s="9" t="n">
        <v>1041.3</v>
      </c>
      <c r="H198" s="10" t="s">
        <v>397</v>
      </c>
      <c r="I198" s="9"/>
    </row>
    <row r="199" customFormat="false" ht="15" hidden="false" customHeight="false" outlineLevel="0" collapsed="false">
      <c r="A199" s="9" t="s">
        <v>22</v>
      </c>
      <c r="B199" s="10" t="s">
        <v>398</v>
      </c>
      <c r="C199" s="10" t="s">
        <v>399</v>
      </c>
      <c r="D199" s="10" t="s">
        <v>400</v>
      </c>
      <c r="E199" s="10" t="s">
        <v>47</v>
      </c>
      <c r="F199" s="10" t="s">
        <v>48</v>
      </c>
      <c r="G199" s="9" t="n">
        <v>672.1</v>
      </c>
      <c r="H199" s="10" t="s">
        <v>401</v>
      </c>
      <c r="I199" s="9"/>
    </row>
    <row r="200" customFormat="false" ht="15" hidden="false" customHeight="false" outlineLevel="0" collapsed="false">
      <c r="A200" s="9" t="s">
        <v>22</v>
      </c>
      <c r="B200" s="10" t="s">
        <v>398</v>
      </c>
      <c r="C200" s="10" t="s">
        <v>399</v>
      </c>
      <c r="D200" s="10" t="s">
        <v>402</v>
      </c>
      <c r="E200" s="10" t="s">
        <v>47</v>
      </c>
      <c r="F200" s="10" t="s">
        <v>48</v>
      </c>
      <c r="G200" s="9" t="n">
        <v>304.7</v>
      </c>
      <c r="H200" s="10" t="s">
        <v>401</v>
      </c>
      <c r="I200" s="9"/>
    </row>
    <row r="201" customFormat="false" ht="15" hidden="false" customHeight="false" outlineLevel="0" collapsed="false">
      <c r="A201" s="9" t="s">
        <v>22</v>
      </c>
      <c r="B201" s="10" t="s">
        <v>398</v>
      </c>
      <c r="C201" s="10" t="s">
        <v>399</v>
      </c>
      <c r="D201" s="10" t="s">
        <v>403</v>
      </c>
      <c r="E201" s="10" t="s">
        <v>47</v>
      </c>
      <c r="F201" s="10" t="s">
        <v>48</v>
      </c>
      <c r="G201" s="9" t="n">
        <v>1058.1</v>
      </c>
      <c r="H201" s="10" t="s">
        <v>401</v>
      </c>
      <c r="I201" s="9"/>
    </row>
    <row r="202" customFormat="false" ht="15" hidden="false" customHeight="false" outlineLevel="0" collapsed="false">
      <c r="A202" s="9" t="s">
        <v>22</v>
      </c>
      <c r="B202" s="10" t="s">
        <v>398</v>
      </c>
      <c r="C202" s="10" t="s">
        <v>399</v>
      </c>
      <c r="D202" s="10" t="s">
        <v>404</v>
      </c>
      <c r="E202" s="10" t="s">
        <v>47</v>
      </c>
      <c r="F202" s="10" t="s">
        <v>48</v>
      </c>
      <c r="G202" s="9" t="n">
        <v>438.3</v>
      </c>
      <c r="H202" s="10" t="s">
        <v>401</v>
      </c>
      <c r="I202" s="9"/>
    </row>
    <row r="203" customFormat="false" ht="15" hidden="false" customHeight="false" outlineLevel="0" collapsed="false">
      <c r="A203" s="9" t="s">
        <v>22</v>
      </c>
      <c r="B203" s="10" t="s">
        <v>398</v>
      </c>
      <c r="C203" s="10" t="s">
        <v>399</v>
      </c>
      <c r="D203" s="10" t="s">
        <v>405</v>
      </c>
      <c r="E203" s="10" t="s">
        <v>47</v>
      </c>
      <c r="F203" s="10" t="s">
        <v>48</v>
      </c>
      <c r="G203" s="9" t="n">
        <v>358.8</v>
      </c>
      <c r="H203" s="10" t="s">
        <v>401</v>
      </c>
      <c r="I203" s="9"/>
    </row>
    <row r="204" customFormat="false" ht="15" hidden="false" customHeight="false" outlineLevel="0" collapsed="false">
      <c r="A204" s="9" t="s">
        <v>22</v>
      </c>
      <c r="B204" s="10" t="s">
        <v>398</v>
      </c>
      <c r="C204" s="10" t="s">
        <v>399</v>
      </c>
      <c r="D204" s="10" t="s">
        <v>406</v>
      </c>
      <c r="E204" s="10" t="s">
        <v>47</v>
      </c>
      <c r="F204" s="10" t="s">
        <v>48</v>
      </c>
      <c r="G204" s="9" t="n">
        <v>680.1</v>
      </c>
      <c r="H204" s="10" t="s">
        <v>401</v>
      </c>
      <c r="I204" s="9"/>
    </row>
    <row r="205" customFormat="false" ht="15" hidden="false" customHeight="false" outlineLevel="0" collapsed="false">
      <c r="A205" s="9" t="s">
        <v>22</v>
      </c>
      <c r="B205" s="10" t="s">
        <v>398</v>
      </c>
      <c r="C205" s="10" t="s">
        <v>399</v>
      </c>
      <c r="D205" s="10" t="s">
        <v>407</v>
      </c>
      <c r="E205" s="10" t="s">
        <v>47</v>
      </c>
      <c r="F205" s="10" t="s">
        <v>48</v>
      </c>
      <c r="G205" s="9" t="n">
        <v>767.5</v>
      </c>
      <c r="H205" s="10" t="s">
        <v>401</v>
      </c>
      <c r="I205" s="9"/>
    </row>
    <row r="206" customFormat="false" ht="15" hidden="false" customHeight="false" outlineLevel="0" collapsed="false">
      <c r="A206" s="9" t="s">
        <v>22</v>
      </c>
      <c r="B206" s="10" t="s">
        <v>398</v>
      </c>
      <c r="C206" s="10" t="s">
        <v>399</v>
      </c>
      <c r="D206" s="10" t="s">
        <v>408</v>
      </c>
      <c r="E206" s="10" t="s">
        <v>47</v>
      </c>
      <c r="F206" s="10" t="s">
        <v>48</v>
      </c>
      <c r="G206" s="9" t="n">
        <v>939</v>
      </c>
      <c r="H206" s="10" t="s">
        <v>401</v>
      </c>
      <c r="I206" s="9"/>
    </row>
    <row r="207" customFormat="false" ht="15" hidden="false" customHeight="false" outlineLevel="0" collapsed="false">
      <c r="A207" s="9" t="s">
        <v>22</v>
      </c>
      <c r="B207" s="10" t="s">
        <v>398</v>
      </c>
      <c r="C207" s="10" t="s">
        <v>399</v>
      </c>
      <c r="D207" s="10" t="s">
        <v>409</v>
      </c>
      <c r="E207" s="10" t="s">
        <v>47</v>
      </c>
      <c r="F207" s="10" t="s">
        <v>58</v>
      </c>
      <c r="G207" s="9" t="n">
        <v>181.3</v>
      </c>
      <c r="H207" s="10" t="s">
        <v>401</v>
      </c>
      <c r="I207" s="9"/>
    </row>
    <row r="208" customFormat="false" ht="15" hidden="false" customHeight="false" outlineLevel="0" collapsed="false">
      <c r="A208" s="9" t="s">
        <v>23</v>
      </c>
      <c r="B208" s="10" t="s">
        <v>65</v>
      </c>
      <c r="C208" s="10" t="s">
        <v>410</v>
      </c>
      <c r="D208" s="10" t="s">
        <v>411</v>
      </c>
      <c r="E208" s="10" t="s">
        <v>47</v>
      </c>
      <c r="F208" s="10" t="s">
        <v>48</v>
      </c>
      <c r="G208" s="9" t="n">
        <v>118.2</v>
      </c>
      <c r="H208" s="10" t="s">
        <v>412</v>
      </c>
      <c r="I208" s="9"/>
    </row>
    <row r="209" customFormat="false" ht="15" hidden="false" customHeight="false" outlineLevel="0" collapsed="false">
      <c r="A209" s="9" t="s">
        <v>23</v>
      </c>
      <c r="B209" s="10" t="s">
        <v>65</v>
      </c>
      <c r="C209" s="10" t="s">
        <v>66</v>
      </c>
      <c r="D209" s="10" t="s">
        <v>413</v>
      </c>
      <c r="E209" s="10" t="s">
        <v>47</v>
      </c>
      <c r="F209" s="10" t="s">
        <v>48</v>
      </c>
      <c r="G209" s="9" t="n">
        <v>125.8</v>
      </c>
      <c r="H209" s="10" t="s">
        <v>414</v>
      </c>
      <c r="I209" s="9"/>
    </row>
    <row r="210" customFormat="false" ht="15" hidden="false" customHeight="false" outlineLevel="0" collapsed="false">
      <c r="A210" s="9" t="s">
        <v>23</v>
      </c>
      <c r="B210" s="10" t="s">
        <v>65</v>
      </c>
      <c r="C210" s="10" t="s">
        <v>66</v>
      </c>
      <c r="D210" s="10" t="s">
        <v>415</v>
      </c>
      <c r="E210" s="10" t="s">
        <v>47</v>
      </c>
      <c r="F210" s="10" t="s">
        <v>48</v>
      </c>
      <c r="G210" s="9" t="n">
        <v>132.4</v>
      </c>
      <c r="H210" s="10" t="s">
        <v>416</v>
      </c>
      <c r="I210" s="9"/>
    </row>
    <row r="211" customFormat="false" ht="15" hidden="false" customHeight="false" outlineLevel="0" collapsed="false">
      <c r="A211" s="9" t="s">
        <v>23</v>
      </c>
      <c r="B211" s="10" t="s">
        <v>65</v>
      </c>
      <c r="C211" s="10" t="s">
        <v>66</v>
      </c>
      <c r="D211" s="9" t="s">
        <v>417</v>
      </c>
      <c r="E211" s="10" t="s">
        <v>47</v>
      </c>
      <c r="F211" s="10" t="s">
        <v>48</v>
      </c>
      <c r="G211" s="9" t="n">
        <v>114.1</v>
      </c>
      <c r="H211" s="10" t="s">
        <v>418</v>
      </c>
      <c r="I211" s="9"/>
    </row>
    <row r="212" customFormat="false" ht="15" hidden="false" customHeight="false" outlineLevel="0" collapsed="false">
      <c r="A212" s="9" t="s">
        <v>23</v>
      </c>
      <c r="B212" s="10" t="s">
        <v>69</v>
      </c>
      <c r="C212" s="10" t="s">
        <v>70</v>
      </c>
      <c r="D212" s="10" t="s">
        <v>419</v>
      </c>
      <c r="E212" s="10" t="s">
        <v>47</v>
      </c>
      <c r="F212" s="10" t="s">
        <v>48</v>
      </c>
      <c r="G212" s="9" t="n">
        <v>122.8</v>
      </c>
      <c r="H212" s="10" t="s">
        <v>420</v>
      </c>
      <c r="I212" s="9"/>
    </row>
    <row r="213" customFormat="false" ht="15" hidden="false" customHeight="false" outlineLevel="0" collapsed="false">
      <c r="A213" s="9" t="s">
        <v>23</v>
      </c>
      <c r="B213" s="10" t="s">
        <v>69</v>
      </c>
      <c r="C213" s="10" t="s">
        <v>70</v>
      </c>
      <c r="D213" s="9" t="s">
        <v>421</v>
      </c>
      <c r="E213" s="10" t="s">
        <v>47</v>
      </c>
      <c r="F213" s="10" t="s">
        <v>48</v>
      </c>
      <c r="G213" s="9" t="n">
        <v>364.4</v>
      </c>
      <c r="H213" s="10" t="s">
        <v>422</v>
      </c>
      <c r="I213" s="9"/>
    </row>
    <row r="214" customFormat="false" ht="15" hidden="false" customHeight="false" outlineLevel="0" collapsed="false">
      <c r="A214" s="9" t="s">
        <v>23</v>
      </c>
      <c r="B214" s="10" t="s">
        <v>69</v>
      </c>
      <c r="C214" s="10" t="s">
        <v>70</v>
      </c>
      <c r="D214" s="9" t="s">
        <v>423</v>
      </c>
      <c r="E214" s="10" t="s">
        <v>47</v>
      </c>
      <c r="F214" s="10" t="s">
        <v>48</v>
      </c>
      <c r="G214" s="9" t="n">
        <v>238.8</v>
      </c>
      <c r="H214" s="10" t="s">
        <v>422</v>
      </c>
      <c r="I214" s="9"/>
    </row>
    <row r="215" customFormat="false" ht="15" hidden="false" customHeight="false" outlineLevel="0" collapsed="false">
      <c r="A215" s="9" t="s">
        <v>23</v>
      </c>
      <c r="B215" s="10" t="s">
        <v>104</v>
      </c>
      <c r="C215" s="10" t="s">
        <v>105</v>
      </c>
      <c r="D215" s="10" t="s">
        <v>424</v>
      </c>
      <c r="E215" s="10" t="s">
        <v>47</v>
      </c>
      <c r="F215" s="10" t="s">
        <v>48</v>
      </c>
      <c r="G215" s="9" t="n">
        <v>120.3</v>
      </c>
      <c r="H215" s="10" t="s">
        <v>425</v>
      </c>
      <c r="I215" s="9"/>
    </row>
    <row r="216" customFormat="false" ht="15" hidden="false" customHeight="false" outlineLevel="0" collapsed="false">
      <c r="A216" s="9" t="s">
        <v>23</v>
      </c>
      <c r="B216" s="10" t="s">
        <v>104</v>
      </c>
      <c r="C216" s="10" t="s">
        <v>105</v>
      </c>
      <c r="D216" s="10" t="s">
        <v>426</v>
      </c>
      <c r="E216" s="10" t="s">
        <v>226</v>
      </c>
      <c r="F216" s="10" t="s">
        <v>227</v>
      </c>
      <c r="G216" s="9" t="n">
        <v>33.1</v>
      </c>
      <c r="H216" s="10" t="s">
        <v>427</v>
      </c>
      <c r="I216" s="9"/>
    </row>
    <row r="217" customFormat="false" ht="15" hidden="false" customHeight="false" outlineLevel="0" collapsed="false">
      <c r="A217" s="9" t="s">
        <v>23</v>
      </c>
      <c r="B217" s="10" t="s">
        <v>126</v>
      </c>
      <c r="C217" s="10" t="s">
        <v>127</v>
      </c>
      <c r="D217" s="10" t="s">
        <v>428</v>
      </c>
      <c r="E217" s="10" t="s">
        <v>47</v>
      </c>
      <c r="F217" s="10" t="s">
        <v>48</v>
      </c>
      <c r="G217" s="9" t="n">
        <v>185.4</v>
      </c>
      <c r="H217" s="10" t="s">
        <v>429</v>
      </c>
      <c r="I217" s="9"/>
    </row>
    <row r="218" customFormat="false" ht="15" hidden="false" customHeight="false" outlineLevel="0" collapsed="false">
      <c r="A218" s="9" t="s">
        <v>23</v>
      </c>
      <c r="B218" s="10" t="s">
        <v>126</v>
      </c>
      <c r="C218" s="10" t="s">
        <v>127</v>
      </c>
      <c r="D218" s="10" t="s">
        <v>430</v>
      </c>
      <c r="E218" s="10" t="s">
        <v>47</v>
      </c>
      <c r="F218" s="10" t="s">
        <v>48</v>
      </c>
      <c r="G218" s="9" t="n">
        <v>185.2</v>
      </c>
      <c r="H218" s="10" t="s">
        <v>429</v>
      </c>
      <c r="I218" s="9"/>
    </row>
    <row r="219" customFormat="false" ht="15" hidden="false" customHeight="false" outlineLevel="0" collapsed="false">
      <c r="A219" s="9" t="s">
        <v>23</v>
      </c>
      <c r="B219" s="10" t="s">
        <v>140</v>
      </c>
      <c r="C219" s="10" t="s">
        <v>141</v>
      </c>
      <c r="D219" s="10" t="s">
        <v>428</v>
      </c>
      <c r="E219" s="10" t="s">
        <v>47</v>
      </c>
      <c r="F219" s="10" t="s">
        <v>48</v>
      </c>
      <c r="G219" s="9" t="n">
        <v>185.4</v>
      </c>
      <c r="H219" s="10" t="s">
        <v>429</v>
      </c>
      <c r="I219" s="9"/>
    </row>
    <row r="220" customFormat="false" ht="15" hidden="false" customHeight="false" outlineLevel="0" collapsed="false">
      <c r="A220" s="9" t="s">
        <v>23</v>
      </c>
      <c r="B220" s="10" t="s">
        <v>140</v>
      </c>
      <c r="C220" s="10" t="s">
        <v>141</v>
      </c>
      <c r="D220" s="10" t="s">
        <v>430</v>
      </c>
      <c r="E220" s="10" t="s">
        <v>47</v>
      </c>
      <c r="F220" s="10" t="s">
        <v>48</v>
      </c>
      <c r="G220" s="9" t="n">
        <v>185.2</v>
      </c>
      <c r="H220" s="10" t="s">
        <v>429</v>
      </c>
      <c r="I220" s="9"/>
    </row>
    <row r="221" customFormat="false" ht="15" hidden="false" customHeight="false" outlineLevel="0" collapsed="false">
      <c r="A221" s="9" t="s">
        <v>24</v>
      </c>
      <c r="B221" s="10" t="s">
        <v>90</v>
      </c>
      <c r="C221" s="10" t="s">
        <v>431</v>
      </c>
      <c r="D221" s="10" t="s">
        <v>432</v>
      </c>
      <c r="E221" s="10" t="s">
        <v>47</v>
      </c>
      <c r="F221" s="10" t="s">
        <v>48</v>
      </c>
      <c r="G221" s="9" t="n">
        <v>4944.5</v>
      </c>
      <c r="H221" s="10" t="s">
        <v>433</v>
      </c>
      <c r="I221" s="9"/>
    </row>
    <row r="222" customFormat="false" ht="15" hidden="false" customHeight="false" outlineLevel="0" collapsed="false">
      <c r="A222" s="9" t="s">
        <v>24</v>
      </c>
      <c r="B222" s="10" t="s">
        <v>90</v>
      </c>
      <c r="C222" s="10" t="s">
        <v>431</v>
      </c>
      <c r="D222" s="10" t="s">
        <v>434</v>
      </c>
      <c r="E222" s="10" t="s">
        <v>47</v>
      </c>
      <c r="F222" s="10" t="s">
        <v>48</v>
      </c>
      <c r="G222" s="9" t="n">
        <v>144.4</v>
      </c>
      <c r="H222" s="10" t="s">
        <v>433</v>
      </c>
      <c r="I222" s="9"/>
    </row>
    <row r="223" customFormat="false" ht="15" hidden="false" customHeight="false" outlineLevel="0" collapsed="false">
      <c r="A223" s="9" t="s">
        <v>24</v>
      </c>
      <c r="B223" s="10" t="s">
        <v>90</v>
      </c>
      <c r="C223" s="10" t="s">
        <v>431</v>
      </c>
      <c r="D223" s="10" t="s">
        <v>435</v>
      </c>
      <c r="E223" s="10" t="s">
        <v>47</v>
      </c>
      <c r="F223" s="10" t="s">
        <v>48</v>
      </c>
      <c r="G223" s="9" t="n">
        <v>642.1</v>
      </c>
      <c r="H223" s="10" t="s">
        <v>436</v>
      </c>
      <c r="I223" s="9"/>
    </row>
    <row r="224" customFormat="false" ht="15" hidden="false" customHeight="false" outlineLevel="0" collapsed="false">
      <c r="A224" s="9" t="s">
        <v>24</v>
      </c>
      <c r="B224" s="10" t="s">
        <v>90</v>
      </c>
      <c r="C224" s="10" t="s">
        <v>431</v>
      </c>
      <c r="D224" s="10" t="s">
        <v>437</v>
      </c>
      <c r="E224" s="10" t="s">
        <v>47</v>
      </c>
      <c r="F224" s="10" t="s">
        <v>48</v>
      </c>
      <c r="G224" s="9" t="n">
        <v>92.1</v>
      </c>
      <c r="H224" s="10" t="s">
        <v>436</v>
      </c>
      <c r="I224" s="9"/>
    </row>
    <row r="225" customFormat="false" ht="15" hidden="false" customHeight="false" outlineLevel="0" collapsed="false">
      <c r="A225" s="9" t="s">
        <v>24</v>
      </c>
      <c r="B225" s="10" t="s">
        <v>90</v>
      </c>
      <c r="C225" s="10" t="s">
        <v>431</v>
      </c>
      <c r="D225" s="10" t="s">
        <v>438</v>
      </c>
      <c r="E225" s="10" t="s">
        <v>47</v>
      </c>
      <c r="F225" s="10" t="s">
        <v>48</v>
      </c>
      <c r="G225" s="9" t="n">
        <v>92.7</v>
      </c>
      <c r="H225" s="10" t="s">
        <v>436</v>
      </c>
      <c r="I225" s="9"/>
    </row>
    <row r="226" customFormat="false" ht="15" hidden="false" customHeight="false" outlineLevel="0" collapsed="false">
      <c r="A226" s="9" t="s">
        <v>24</v>
      </c>
      <c r="B226" s="10" t="s">
        <v>90</v>
      </c>
      <c r="C226" s="10" t="s">
        <v>431</v>
      </c>
      <c r="D226" s="10" t="s">
        <v>439</v>
      </c>
      <c r="E226" s="10" t="s">
        <v>47</v>
      </c>
      <c r="F226" s="10" t="s">
        <v>48</v>
      </c>
      <c r="G226" s="9" t="n">
        <v>92.2</v>
      </c>
      <c r="H226" s="10" t="s">
        <v>436</v>
      </c>
      <c r="I226" s="9"/>
    </row>
    <row r="227" customFormat="false" ht="15" hidden="false" customHeight="false" outlineLevel="0" collapsed="false">
      <c r="A227" s="9" t="s">
        <v>24</v>
      </c>
      <c r="B227" s="10" t="s">
        <v>90</v>
      </c>
      <c r="C227" s="10" t="s">
        <v>431</v>
      </c>
      <c r="D227" s="10" t="s">
        <v>440</v>
      </c>
      <c r="E227" s="10" t="s">
        <v>47</v>
      </c>
      <c r="F227" s="10" t="s">
        <v>48</v>
      </c>
      <c r="G227" s="9" t="n">
        <v>92.3</v>
      </c>
      <c r="H227" s="10" t="s">
        <v>436</v>
      </c>
      <c r="I227" s="9"/>
    </row>
    <row r="228" customFormat="false" ht="15" hidden="false" customHeight="false" outlineLevel="0" collapsed="false">
      <c r="A228" s="9" t="s">
        <v>24</v>
      </c>
      <c r="B228" s="10" t="s">
        <v>90</v>
      </c>
      <c r="C228" s="10" t="s">
        <v>431</v>
      </c>
      <c r="D228" s="9" t="s">
        <v>441</v>
      </c>
      <c r="E228" s="10" t="s">
        <v>47</v>
      </c>
      <c r="F228" s="10" t="s">
        <v>48</v>
      </c>
      <c r="G228" s="9" t="n">
        <v>38017.7</v>
      </c>
      <c r="H228" s="10" t="s">
        <v>442</v>
      </c>
      <c r="I228" s="9"/>
    </row>
    <row r="229" customFormat="false" ht="15" hidden="false" customHeight="false" outlineLevel="0" collapsed="false">
      <c r="A229" s="9" t="s">
        <v>24</v>
      </c>
      <c r="B229" s="10" t="s">
        <v>90</v>
      </c>
      <c r="C229" s="10" t="s">
        <v>431</v>
      </c>
      <c r="D229" s="9" t="s">
        <v>443</v>
      </c>
      <c r="E229" s="10" t="s">
        <v>47</v>
      </c>
      <c r="F229" s="10" t="s">
        <v>48</v>
      </c>
      <c r="G229" s="9" t="n">
        <v>34026.7</v>
      </c>
      <c r="H229" s="10" t="s">
        <v>442</v>
      </c>
      <c r="I229" s="9"/>
    </row>
    <row r="230" customFormat="false" ht="15" hidden="false" customHeight="false" outlineLevel="0" collapsed="false">
      <c r="A230" s="9" t="s">
        <v>24</v>
      </c>
      <c r="B230" s="10" t="s">
        <v>90</v>
      </c>
      <c r="C230" s="10" t="s">
        <v>444</v>
      </c>
      <c r="D230" s="10" t="s">
        <v>445</v>
      </c>
      <c r="E230" s="10" t="s">
        <v>47</v>
      </c>
      <c r="F230" s="10" t="s">
        <v>48</v>
      </c>
      <c r="G230" s="9" t="n">
        <v>130.4</v>
      </c>
      <c r="H230" s="10" t="s">
        <v>446</v>
      </c>
      <c r="I230" s="9"/>
    </row>
    <row r="231" customFormat="false" ht="15" hidden="false" customHeight="false" outlineLevel="0" collapsed="false">
      <c r="A231" s="9" t="s">
        <v>24</v>
      </c>
      <c r="B231" s="10" t="s">
        <v>90</v>
      </c>
      <c r="C231" s="10" t="s">
        <v>444</v>
      </c>
      <c r="D231" s="10" t="s">
        <v>447</v>
      </c>
      <c r="E231" s="10" t="s">
        <v>47</v>
      </c>
      <c r="F231" s="10" t="s">
        <v>48</v>
      </c>
      <c r="G231" s="9" t="n">
        <v>151</v>
      </c>
      <c r="H231" s="10" t="s">
        <v>446</v>
      </c>
      <c r="I231" s="9"/>
    </row>
    <row r="232" customFormat="false" ht="15" hidden="false" customHeight="false" outlineLevel="0" collapsed="false">
      <c r="A232" s="9" t="s">
        <v>24</v>
      </c>
      <c r="B232" s="10" t="s">
        <v>90</v>
      </c>
      <c r="C232" s="10" t="s">
        <v>444</v>
      </c>
      <c r="D232" s="10" t="s">
        <v>448</v>
      </c>
      <c r="E232" s="10" t="s">
        <v>47</v>
      </c>
      <c r="F232" s="10" t="s">
        <v>58</v>
      </c>
      <c r="G232" s="9" t="n">
        <v>31.6</v>
      </c>
      <c r="H232" s="10" t="s">
        <v>446</v>
      </c>
      <c r="I232" s="9"/>
    </row>
    <row r="233" customFormat="false" ht="15" hidden="false" customHeight="false" outlineLevel="0" collapsed="false">
      <c r="A233" s="9" t="s">
        <v>24</v>
      </c>
      <c r="B233" s="10" t="s">
        <v>90</v>
      </c>
      <c r="C233" s="10" t="s">
        <v>444</v>
      </c>
      <c r="D233" s="10" t="s">
        <v>449</v>
      </c>
      <c r="E233" s="10" t="s">
        <v>47</v>
      </c>
      <c r="F233" s="10" t="s">
        <v>48</v>
      </c>
      <c r="G233" s="9" t="n">
        <v>117.1</v>
      </c>
      <c r="H233" s="10" t="s">
        <v>450</v>
      </c>
      <c r="I233" s="9"/>
    </row>
    <row r="234" customFormat="false" ht="15" hidden="false" customHeight="false" outlineLevel="0" collapsed="false">
      <c r="A234" s="9" t="s">
        <v>24</v>
      </c>
      <c r="B234" s="10" t="s">
        <v>90</v>
      </c>
      <c r="C234" s="10" t="s">
        <v>444</v>
      </c>
      <c r="D234" s="10" t="s">
        <v>451</v>
      </c>
      <c r="E234" s="10" t="s">
        <v>47</v>
      </c>
      <c r="F234" s="10" t="s">
        <v>48</v>
      </c>
      <c r="G234" s="9" t="n">
        <v>171</v>
      </c>
      <c r="H234" s="10" t="s">
        <v>452</v>
      </c>
      <c r="I234" s="9"/>
    </row>
    <row r="235" customFormat="false" ht="15" hidden="false" customHeight="false" outlineLevel="0" collapsed="false">
      <c r="A235" s="9" t="s">
        <v>24</v>
      </c>
      <c r="B235" s="10" t="s">
        <v>90</v>
      </c>
      <c r="C235" s="10" t="s">
        <v>444</v>
      </c>
      <c r="D235" s="10" t="s">
        <v>453</v>
      </c>
      <c r="E235" s="10" t="s">
        <v>47</v>
      </c>
      <c r="F235" s="10" t="s">
        <v>48</v>
      </c>
      <c r="G235" s="9" t="n">
        <v>116.5</v>
      </c>
      <c r="H235" s="10" t="s">
        <v>344</v>
      </c>
      <c r="I235" s="9"/>
    </row>
    <row r="236" customFormat="false" ht="15" hidden="false" customHeight="false" outlineLevel="0" collapsed="false">
      <c r="A236" s="9" t="s">
        <v>24</v>
      </c>
      <c r="B236" s="10" t="s">
        <v>90</v>
      </c>
      <c r="C236" s="10" t="s">
        <v>444</v>
      </c>
      <c r="D236" s="9" t="s">
        <v>441</v>
      </c>
      <c r="E236" s="10" t="s">
        <v>47</v>
      </c>
      <c r="F236" s="10" t="s">
        <v>48</v>
      </c>
      <c r="G236" s="9" t="n">
        <v>28099.9</v>
      </c>
      <c r="H236" s="10" t="s">
        <v>442</v>
      </c>
      <c r="I236" s="9"/>
    </row>
    <row r="237" customFormat="false" ht="15" hidden="false" customHeight="false" outlineLevel="0" collapsed="false">
      <c r="A237" s="9" t="s">
        <v>24</v>
      </c>
      <c r="B237" s="10" t="s">
        <v>90</v>
      </c>
      <c r="C237" s="10" t="s">
        <v>444</v>
      </c>
      <c r="D237" s="9" t="s">
        <v>454</v>
      </c>
      <c r="E237" s="10" t="s">
        <v>47</v>
      </c>
      <c r="F237" s="10" t="s">
        <v>48</v>
      </c>
      <c r="G237" s="9" t="n">
        <v>20193.3</v>
      </c>
      <c r="H237" s="10" t="s">
        <v>442</v>
      </c>
      <c r="I237" s="9"/>
    </row>
    <row r="238" customFormat="false" ht="15" hidden="false" customHeight="false" outlineLevel="0" collapsed="false">
      <c r="A238" s="9" t="s">
        <v>24</v>
      </c>
      <c r="B238" s="10" t="s">
        <v>90</v>
      </c>
      <c r="C238" s="10" t="s">
        <v>444</v>
      </c>
      <c r="D238" s="9" t="s">
        <v>455</v>
      </c>
      <c r="E238" s="10" t="s">
        <v>47</v>
      </c>
      <c r="F238" s="10" t="s">
        <v>48</v>
      </c>
      <c r="G238" s="9" t="n">
        <v>6258.9</v>
      </c>
      <c r="H238" s="10" t="s">
        <v>442</v>
      </c>
      <c r="I238" s="9"/>
    </row>
    <row r="239" customFormat="false" ht="15" hidden="false" customHeight="false" outlineLevel="0" collapsed="false">
      <c r="A239" s="9" t="s">
        <v>24</v>
      </c>
      <c r="B239" s="10" t="s">
        <v>90</v>
      </c>
      <c r="C239" s="10" t="s">
        <v>456</v>
      </c>
      <c r="D239" s="10" t="s">
        <v>432</v>
      </c>
      <c r="E239" s="10" t="s">
        <v>47</v>
      </c>
      <c r="F239" s="10" t="s">
        <v>48</v>
      </c>
      <c r="G239" s="9" t="n">
        <v>4944.5</v>
      </c>
      <c r="H239" s="10" t="s">
        <v>433</v>
      </c>
      <c r="I239" s="9"/>
    </row>
    <row r="240" customFormat="false" ht="15" hidden="false" customHeight="false" outlineLevel="0" collapsed="false">
      <c r="A240" s="9" t="s">
        <v>24</v>
      </c>
      <c r="B240" s="10" t="s">
        <v>90</v>
      </c>
      <c r="C240" s="10" t="s">
        <v>456</v>
      </c>
      <c r="D240" s="10" t="s">
        <v>434</v>
      </c>
      <c r="E240" s="10" t="s">
        <v>47</v>
      </c>
      <c r="F240" s="10" t="s">
        <v>48</v>
      </c>
      <c r="G240" s="9" t="n">
        <v>144.4</v>
      </c>
      <c r="H240" s="10" t="s">
        <v>433</v>
      </c>
      <c r="I240" s="9"/>
    </row>
    <row r="241" customFormat="false" ht="15" hidden="false" customHeight="false" outlineLevel="0" collapsed="false">
      <c r="A241" s="9" t="s">
        <v>24</v>
      </c>
      <c r="B241" s="10" t="s">
        <v>90</v>
      </c>
      <c r="C241" s="10" t="s">
        <v>456</v>
      </c>
      <c r="D241" s="10" t="s">
        <v>435</v>
      </c>
      <c r="E241" s="10" t="s">
        <v>47</v>
      </c>
      <c r="F241" s="10" t="s">
        <v>48</v>
      </c>
      <c r="G241" s="9" t="n">
        <v>642.1</v>
      </c>
      <c r="H241" s="10" t="s">
        <v>436</v>
      </c>
      <c r="I241" s="9"/>
    </row>
    <row r="242" customFormat="false" ht="15" hidden="false" customHeight="false" outlineLevel="0" collapsed="false">
      <c r="A242" s="9" t="s">
        <v>24</v>
      </c>
      <c r="B242" s="10" t="s">
        <v>90</v>
      </c>
      <c r="C242" s="10" t="s">
        <v>456</v>
      </c>
      <c r="D242" s="10" t="s">
        <v>437</v>
      </c>
      <c r="E242" s="10" t="s">
        <v>47</v>
      </c>
      <c r="F242" s="10" t="s">
        <v>48</v>
      </c>
      <c r="G242" s="9" t="n">
        <v>92.1</v>
      </c>
      <c r="H242" s="10" t="s">
        <v>436</v>
      </c>
      <c r="I242" s="9"/>
    </row>
    <row r="243" customFormat="false" ht="15" hidden="false" customHeight="false" outlineLevel="0" collapsed="false">
      <c r="A243" s="9" t="s">
        <v>24</v>
      </c>
      <c r="B243" s="10" t="s">
        <v>90</v>
      </c>
      <c r="C243" s="10" t="s">
        <v>456</v>
      </c>
      <c r="D243" s="10" t="s">
        <v>438</v>
      </c>
      <c r="E243" s="10" t="s">
        <v>47</v>
      </c>
      <c r="F243" s="10" t="s">
        <v>48</v>
      </c>
      <c r="G243" s="9" t="n">
        <v>92.7</v>
      </c>
      <c r="H243" s="10" t="s">
        <v>436</v>
      </c>
      <c r="I243" s="9"/>
    </row>
    <row r="244" customFormat="false" ht="15" hidden="false" customHeight="false" outlineLevel="0" collapsed="false">
      <c r="A244" s="9" t="s">
        <v>24</v>
      </c>
      <c r="B244" s="10" t="s">
        <v>90</v>
      </c>
      <c r="C244" s="10" t="s">
        <v>456</v>
      </c>
      <c r="D244" s="10" t="s">
        <v>439</v>
      </c>
      <c r="E244" s="10" t="s">
        <v>47</v>
      </c>
      <c r="F244" s="10" t="s">
        <v>48</v>
      </c>
      <c r="G244" s="9" t="n">
        <v>92.2</v>
      </c>
      <c r="H244" s="10" t="s">
        <v>436</v>
      </c>
      <c r="I244" s="9"/>
    </row>
    <row r="245" customFormat="false" ht="15" hidden="false" customHeight="false" outlineLevel="0" collapsed="false">
      <c r="A245" s="9" t="s">
        <v>24</v>
      </c>
      <c r="B245" s="10" t="s">
        <v>90</v>
      </c>
      <c r="C245" s="10" t="s">
        <v>456</v>
      </c>
      <c r="D245" s="10" t="s">
        <v>440</v>
      </c>
      <c r="E245" s="10" t="s">
        <v>47</v>
      </c>
      <c r="F245" s="10" t="s">
        <v>48</v>
      </c>
      <c r="G245" s="9" t="n">
        <v>92.3</v>
      </c>
      <c r="H245" s="10" t="s">
        <v>436</v>
      </c>
      <c r="I245" s="9"/>
    </row>
    <row r="246" customFormat="false" ht="15" hidden="false" customHeight="false" outlineLevel="0" collapsed="false">
      <c r="A246" s="9" t="s">
        <v>24</v>
      </c>
      <c r="B246" s="10" t="s">
        <v>90</v>
      </c>
      <c r="C246" s="10" t="s">
        <v>456</v>
      </c>
      <c r="D246" s="9" t="s">
        <v>441</v>
      </c>
      <c r="E246" s="10" t="s">
        <v>47</v>
      </c>
      <c r="F246" s="10" t="s">
        <v>48</v>
      </c>
      <c r="G246" s="9" t="n">
        <v>38017.7</v>
      </c>
      <c r="H246" s="10" t="s">
        <v>442</v>
      </c>
      <c r="I246" s="9"/>
    </row>
    <row r="247" customFormat="false" ht="15" hidden="false" customHeight="false" outlineLevel="0" collapsed="false">
      <c r="A247" s="9" t="s">
        <v>24</v>
      </c>
      <c r="B247" s="10" t="s">
        <v>90</v>
      </c>
      <c r="C247" s="10" t="s">
        <v>456</v>
      </c>
      <c r="D247" s="9" t="s">
        <v>443</v>
      </c>
      <c r="E247" s="10" t="s">
        <v>47</v>
      </c>
      <c r="F247" s="10" t="s">
        <v>48</v>
      </c>
      <c r="G247" s="9" t="n">
        <v>34026.7</v>
      </c>
      <c r="H247" s="10" t="s">
        <v>442</v>
      </c>
      <c r="I247" s="9"/>
    </row>
    <row r="248" customFormat="false" ht="15" hidden="false" customHeight="false" outlineLevel="0" collapsed="false">
      <c r="A248" s="9" t="s">
        <v>24</v>
      </c>
      <c r="B248" s="10" t="s">
        <v>90</v>
      </c>
      <c r="C248" s="10" t="s">
        <v>457</v>
      </c>
      <c r="D248" s="10" t="s">
        <v>445</v>
      </c>
      <c r="E248" s="10" t="s">
        <v>47</v>
      </c>
      <c r="F248" s="10" t="s">
        <v>48</v>
      </c>
      <c r="G248" s="9" t="n">
        <v>130.4</v>
      </c>
      <c r="H248" s="10" t="s">
        <v>446</v>
      </c>
      <c r="I248" s="9"/>
    </row>
    <row r="249" customFormat="false" ht="15" hidden="false" customHeight="false" outlineLevel="0" collapsed="false">
      <c r="A249" s="9" t="s">
        <v>24</v>
      </c>
      <c r="B249" s="10" t="s">
        <v>90</v>
      </c>
      <c r="C249" s="10" t="s">
        <v>457</v>
      </c>
      <c r="D249" s="10" t="s">
        <v>447</v>
      </c>
      <c r="E249" s="10" t="s">
        <v>47</v>
      </c>
      <c r="F249" s="10" t="s">
        <v>48</v>
      </c>
      <c r="G249" s="9" t="n">
        <v>151</v>
      </c>
      <c r="H249" s="10" t="s">
        <v>446</v>
      </c>
      <c r="I249" s="9"/>
    </row>
    <row r="250" customFormat="false" ht="15" hidden="false" customHeight="false" outlineLevel="0" collapsed="false">
      <c r="A250" s="9" t="s">
        <v>24</v>
      </c>
      <c r="B250" s="10" t="s">
        <v>90</v>
      </c>
      <c r="C250" s="10" t="s">
        <v>457</v>
      </c>
      <c r="D250" s="10" t="s">
        <v>448</v>
      </c>
      <c r="E250" s="10" t="s">
        <v>47</v>
      </c>
      <c r="F250" s="10" t="s">
        <v>58</v>
      </c>
      <c r="G250" s="9" t="n">
        <v>31.6</v>
      </c>
      <c r="H250" s="10" t="s">
        <v>446</v>
      </c>
      <c r="I250" s="9"/>
    </row>
    <row r="251" customFormat="false" ht="15" hidden="false" customHeight="false" outlineLevel="0" collapsed="false">
      <c r="A251" s="9" t="s">
        <v>24</v>
      </c>
      <c r="B251" s="10" t="s">
        <v>90</v>
      </c>
      <c r="C251" s="10" t="s">
        <v>457</v>
      </c>
      <c r="D251" s="10" t="s">
        <v>449</v>
      </c>
      <c r="E251" s="10" t="s">
        <v>47</v>
      </c>
      <c r="F251" s="10" t="s">
        <v>48</v>
      </c>
      <c r="G251" s="9" t="n">
        <v>117.1</v>
      </c>
      <c r="H251" s="10" t="s">
        <v>450</v>
      </c>
      <c r="I251" s="9"/>
    </row>
    <row r="252" customFormat="false" ht="15" hidden="false" customHeight="false" outlineLevel="0" collapsed="false">
      <c r="A252" s="9" t="s">
        <v>24</v>
      </c>
      <c r="B252" s="10" t="s">
        <v>90</v>
      </c>
      <c r="C252" s="10" t="s">
        <v>457</v>
      </c>
      <c r="D252" s="10" t="s">
        <v>451</v>
      </c>
      <c r="E252" s="10" t="s">
        <v>47</v>
      </c>
      <c r="F252" s="10" t="s">
        <v>48</v>
      </c>
      <c r="G252" s="9" t="n">
        <v>171</v>
      </c>
      <c r="H252" s="10" t="s">
        <v>452</v>
      </c>
      <c r="I252" s="9"/>
    </row>
    <row r="253" customFormat="false" ht="15" hidden="false" customHeight="false" outlineLevel="0" collapsed="false">
      <c r="A253" s="9" t="s">
        <v>24</v>
      </c>
      <c r="B253" s="10" t="s">
        <v>90</v>
      </c>
      <c r="C253" s="10" t="s">
        <v>457</v>
      </c>
      <c r="D253" s="10" t="s">
        <v>453</v>
      </c>
      <c r="E253" s="10" t="s">
        <v>47</v>
      </c>
      <c r="F253" s="10" t="s">
        <v>48</v>
      </c>
      <c r="G253" s="9" t="n">
        <v>116.5</v>
      </c>
      <c r="H253" s="10" t="s">
        <v>344</v>
      </c>
      <c r="I253" s="9"/>
    </row>
    <row r="254" customFormat="false" ht="15" hidden="false" customHeight="false" outlineLevel="0" collapsed="false">
      <c r="A254" s="9" t="s">
        <v>24</v>
      </c>
      <c r="B254" s="10" t="s">
        <v>90</v>
      </c>
      <c r="C254" s="10" t="s">
        <v>457</v>
      </c>
      <c r="D254" s="9" t="s">
        <v>441</v>
      </c>
      <c r="E254" s="10" t="s">
        <v>47</v>
      </c>
      <c r="F254" s="10" t="s">
        <v>48</v>
      </c>
      <c r="G254" s="9" t="n">
        <v>28099.9</v>
      </c>
      <c r="H254" s="10" t="s">
        <v>442</v>
      </c>
      <c r="I254" s="9"/>
    </row>
    <row r="255" customFormat="false" ht="15" hidden="false" customHeight="false" outlineLevel="0" collapsed="false">
      <c r="A255" s="9" t="s">
        <v>24</v>
      </c>
      <c r="B255" s="10" t="s">
        <v>90</v>
      </c>
      <c r="C255" s="10" t="s">
        <v>457</v>
      </c>
      <c r="D255" s="9" t="s">
        <v>458</v>
      </c>
      <c r="E255" s="10" t="s">
        <v>47</v>
      </c>
      <c r="F255" s="10" t="s">
        <v>48</v>
      </c>
      <c r="G255" s="9" t="n">
        <v>4336.1</v>
      </c>
      <c r="H255" s="10" t="s">
        <v>459</v>
      </c>
      <c r="I255" s="9"/>
    </row>
    <row r="256" customFormat="false" ht="15" hidden="false" customHeight="false" outlineLevel="0" collapsed="false">
      <c r="A256" s="9" t="s">
        <v>24</v>
      </c>
      <c r="B256" s="10" t="s">
        <v>90</v>
      </c>
      <c r="C256" s="10" t="s">
        <v>457</v>
      </c>
      <c r="D256" s="9" t="s">
        <v>454</v>
      </c>
      <c r="E256" s="10" t="s">
        <v>47</v>
      </c>
      <c r="F256" s="10" t="s">
        <v>48</v>
      </c>
      <c r="G256" s="9" t="n">
        <v>20193.3</v>
      </c>
      <c r="H256" s="10" t="s">
        <v>442</v>
      </c>
      <c r="I256" s="9"/>
    </row>
    <row r="257" customFormat="false" ht="15" hidden="false" customHeight="false" outlineLevel="0" collapsed="false">
      <c r="A257" s="9" t="s">
        <v>24</v>
      </c>
      <c r="B257" s="10" t="s">
        <v>90</v>
      </c>
      <c r="C257" s="10" t="s">
        <v>457</v>
      </c>
      <c r="D257" s="9" t="s">
        <v>455</v>
      </c>
      <c r="E257" s="10" t="s">
        <v>47</v>
      </c>
      <c r="F257" s="10" t="s">
        <v>48</v>
      </c>
      <c r="G257" s="9" t="n">
        <v>6258.9</v>
      </c>
      <c r="H257" s="10" t="s">
        <v>442</v>
      </c>
      <c r="I257" s="9"/>
    </row>
    <row r="258" customFormat="false" ht="15" hidden="false" customHeight="false" outlineLevel="0" collapsed="false">
      <c r="A258" s="9" t="s">
        <v>25</v>
      </c>
      <c r="B258" s="10" t="s">
        <v>460</v>
      </c>
      <c r="C258" s="10" t="s">
        <v>461</v>
      </c>
      <c r="D258" s="10" t="s">
        <v>462</v>
      </c>
      <c r="E258" s="10" t="s">
        <v>47</v>
      </c>
      <c r="F258" s="10" t="s">
        <v>463</v>
      </c>
      <c r="G258" s="9" t="n">
        <v>1571.7</v>
      </c>
      <c r="H258" s="10" t="s">
        <v>464</v>
      </c>
      <c r="I258" s="9"/>
    </row>
    <row r="259" customFormat="false" ht="15" hidden="false" customHeight="false" outlineLevel="0" collapsed="false">
      <c r="A259" s="9" t="s">
        <v>25</v>
      </c>
      <c r="B259" s="10" t="s">
        <v>460</v>
      </c>
      <c r="C259" s="10" t="s">
        <v>461</v>
      </c>
      <c r="D259" s="10" t="s">
        <v>465</v>
      </c>
      <c r="E259" s="10" t="s">
        <v>47</v>
      </c>
      <c r="F259" s="10" t="s">
        <v>48</v>
      </c>
      <c r="G259" s="9" t="n">
        <v>1455</v>
      </c>
      <c r="H259" s="10" t="s">
        <v>464</v>
      </c>
      <c r="I259" s="9"/>
    </row>
    <row r="260" customFormat="false" ht="15" hidden="false" customHeight="false" outlineLevel="0" collapsed="false">
      <c r="A260" s="9" t="s">
        <v>25</v>
      </c>
      <c r="B260" s="10" t="s">
        <v>460</v>
      </c>
      <c r="C260" s="10" t="s">
        <v>461</v>
      </c>
      <c r="D260" s="10" t="s">
        <v>466</v>
      </c>
      <c r="E260" s="10" t="s">
        <v>47</v>
      </c>
      <c r="F260" s="10" t="s">
        <v>463</v>
      </c>
      <c r="G260" s="9" t="n">
        <v>1571.3</v>
      </c>
      <c r="H260" s="10" t="s">
        <v>464</v>
      </c>
      <c r="I260" s="9"/>
    </row>
    <row r="261" customFormat="false" ht="15" hidden="false" customHeight="false" outlineLevel="0" collapsed="false">
      <c r="A261" s="9" t="s">
        <v>25</v>
      </c>
      <c r="B261" s="10" t="s">
        <v>460</v>
      </c>
      <c r="C261" s="10" t="s">
        <v>461</v>
      </c>
      <c r="D261" s="10" t="s">
        <v>467</v>
      </c>
      <c r="E261" s="10" t="s">
        <v>226</v>
      </c>
      <c r="F261" s="10" t="s">
        <v>227</v>
      </c>
      <c r="G261" s="9" t="n">
        <v>35329.5</v>
      </c>
      <c r="H261" s="10" t="s">
        <v>464</v>
      </c>
      <c r="I261" s="9"/>
    </row>
    <row r="262" customFormat="false" ht="15" hidden="false" customHeight="false" outlineLevel="0" collapsed="false">
      <c r="A262" s="9" t="s">
        <v>25</v>
      </c>
      <c r="B262" s="10" t="s">
        <v>460</v>
      </c>
      <c r="C262" s="10" t="s">
        <v>461</v>
      </c>
      <c r="D262" s="10" t="s">
        <v>468</v>
      </c>
      <c r="E262" s="10" t="s">
        <v>47</v>
      </c>
      <c r="F262" s="10" t="s">
        <v>48</v>
      </c>
      <c r="G262" s="9" t="n">
        <v>123.2</v>
      </c>
      <c r="H262" s="10" t="s">
        <v>469</v>
      </c>
      <c r="I262" s="9"/>
    </row>
    <row r="263" customFormat="false" ht="15" hidden="false" customHeight="false" outlineLevel="0" collapsed="false">
      <c r="A263" s="9" t="s">
        <v>25</v>
      </c>
      <c r="B263" s="10" t="s">
        <v>460</v>
      </c>
      <c r="C263" s="10" t="s">
        <v>461</v>
      </c>
      <c r="D263" s="10" t="s">
        <v>470</v>
      </c>
      <c r="E263" s="10" t="s">
        <v>47</v>
      </c>
      <c r="F263" s="10" t="s">
        <v>48</v>
      </c>
      <c r="G263" s="9" t="n">
        <v>227.9</v>
      </c>
      <c r="H263" s="10" t="s">
        <v>469</v>
      </c>
      <c r="I263" s="9"/>
    </row>
    <row r="264" customFormat="false" ht="15" hidden="false" customHeight="false" outlineLevel="0" collapsed="false">
      <c r="A264" s="9" t="s">
        <v>25</v>
      </c>
      <c r="B264" s="10" t="s">
        <v>460</v>
      </c>
      <c r="C264" s="10" t="s">
        <v>461</v>
      </c>
      <c r="D264" s="10" t="s">
        <v>471</v>
      </c>
      <c r="E264" s="10" t="s">
        <v>47</v>
      </c>
      <c r="F264" s="10" t="s">
        <v>387</v>
      </c>
      <c r="G264" s="9" t="n">
        <v>113.5</v>
      </c>
      <c r="H264" s="10" t="s">
        <v>472</v>
      </c>
      <c r="I264" s="9"/>
    </row>
    <row r="265" customFormat="false" ht="15" hidden="false" customHeight="false" outlineLevel="0" collapsed="false">
      <c r="A265" s="9" t="s">
        <v>25</v>
      </c>
      <c r="B265" s="10" t="s">
        <v>460</v>
      </c>
      <c r="C265" s="10" t="s">
        <v>461</v>
      </c>
      <c r="D265" s="9" t="s">
        <v>473</v>
      </c>
      <c r="E265" s="10" t="s">
        <v>226</v>
      </c>
      <c r="F265" s="10" t="s">
        <v>227</v>
      </c>
      <c r="G265" s="9" t="n">
        <v>460.3</v>
      </c>
      <c r="H265" s="10" t="s">
        <v>469</v>
      </c>
      <c r="I265" s="9"/>
    </row>
    <row r="266" customFormat="false" ht="15" hidden="false" customHeight="false" outlineLevel="0" collapsed="false">
      <c r="A266" s="9" t="s">
        <v>25</v>
      </c>
      <c r="B266" s="10" t="s">
        <v>460</v>
      </c>
      <c r="C266" s="10" t="s">
        <v>474</v>
      </c>
      <c r="D266" s="10" t="s">
        <v>475</v>
      </c>
      <c r="E266" s="10" t="s">
        <v>47</v>
      </c>
      <c r="F266" s="10" t="s">
        <v>48</v>
      </c>
      <c r="G266" s="9" t="n">
        <v>314.7</v>
      </c>
      <c r="H266" s="10" t="s">
        <v>476</v>
      </c>
      <c r="I266" s="9"/>
    </row>
    <row r="267" customFormat="false" ht="15" hidden="false" customHeight="false" outlineLevel="0" collapsed="false">
      <c r="A267" s="9" t="s">
        <v>25</v>
      </c>
      <c r="B267" s="10" t="s">
        <v>460</v>
      </c>
      <c r="C267" s="10" t="s">
        <v>474</v>
      </c>
      <c r="D267" s="10" t="s">
        <v>477</v>
      </c>
      <c r="E267" s="10" t="s">
        <v>47</v>
      </c>
      <c r="F267" s="10" t="s">
        <v>48</v>
      </c>
      <c r="G267" s="9" t="n">
        <v>175.9</v>
      </c>
      <c r="H267" s="10" t="s">
        <v>478</v>
      </c>
      <c r="I267" s="9"/>
    </row>
    <row r="268" customFormat="false" ht="15" hidden="false" customHeight="false" outlineLevel="0" collapsed="false">
      <c r="A268" s="9" t="s">
        <v>25</v>
      </c>
      <c r="B268" s="10" t="s">
        <v>460</v>
      </c>
      <c r="C268" s="10" t="s">
        <v>474</v>
      </c>
      <c r="D268" s="10" t="s">
        <v>479</v>
      </c>
      <c r="E268" s="10" t="s">
        <v>47</v>
      </c>
      <c r="F268" s="10" t="s">
        <v>48</v>
      </c>
      <c r="G268" s="9" t="n">
        <v>123.3</v>
      </c>
      <c r="H268" s="10" t="s">
        <v>480</v>
      </c>
      <c r="I268" s="9"/>
    </row>
    <row r="269" customFormat="false" ht="15" hidden="false" customHeight="false" outlineLevel="0" collapsed="false">
      <c r="A269" s="9" t="s">
        <v>25</v>
      </c>
      <c r="B269" s="10" t="s">
        <v>460</v>
      </c>
      <c r="C269" s="10" t="s">
        <v>474</v>
      </c>
      <c r="D269" s="10" t="s">
        <v>481</v>
      </c>
      <c r="E269" s="10" t="s">
        <v>47</v>
      </c>
      <c r="F269" s="10" t="s">
        <v>48</v>
      </c>
      <c r="G269" s="9" t="n">
        <v>114.6</v>
      </c>
      <c r="H269" s="10" t="s">
        <v>482</v>
      </c>
      <c r="I269" s="9"/>
    </row>
    <row r="270" customFormat="false" ht="15" hidden="false" customHeight="false" outlineLevel="0" collapsed="false">
      <c r="A270" s="9" t="s">
        <v>25</v>
      </c>
      <c r="B270" s="10" t="s">
        <v>460</v>
      </c>
      <c r="C270" s="10" t="s">
        <v>474</v>
      </c>
      <c r="D270" s="10" t="s">
        <v>483</v>
      </c>
      <c r="E270" s="10" t="s">
        <v>47</v>
      </c>
      <c r="F270" s="10" t="s">
        <v>48</v>
      </c>
      <c r="G270" s="9" t="n">
        <v>147.2</v>
      </c>
      <c r="H270" s="10" t="s">
        <v>346</v>
      </c>
      <c r="I270" s="9"/>
    </row>
    <row r="271" customFormat="false" ht="15" hidden="false" customHeight="false" outlineLevel="0" collapsed="false">
      <c r="A271" s="9" t="s">
        <v>25</v>
      </c>
      <c r="B271" s="10" t="s">
        <v>460</v>
      </c>
      <c r="C271" s="10" t="s">
        <v>474</v>
      </c>
      <c r="D271" s="10" t="s">
        <v>484</v>
      </c>
      <c r="E271" s="10" t="s">
        <v>47</v>
      </c>
      <c r="F271" s="10" t="s">
        <v>58</v>
      </c>
      <c r="G271" s="9" t="n">
        <v>9.8</v>
      </c>
      <c r="H271" s="10" t="s">
        <v>485</v>
      </c>
      <c r="I271" s="9"/>
    </row>
    <row r="272" customFormat="false" ht="15" hidden="false" customHeight="false" outlineLevel="0" collapsed="false">
      <c r="A272" s="9" t="s">
        <v>25</v>
      </c>
      <c r="B272" s="10" t="s">
        <v>460</v>
      </c>
      <c r="C272" s="10" t="s">
        <v>474</v>
      </c>
      <c r="D272" s="10" t="s">
        <v>486</v>
      </c>
      <c r="E272" s="10" t="s">
        <v>47</v>
      </c>
      <c r="F272" s="10" t="s">
        <v>48</v>
      </c>
      <c r="G272" s="9" t="n">
        <v>120.4</v>
      </c>
      <c r="H272" s="10" t="s">
        <v>472</v>
      </c>
      <c r="I272" s="9"/>
    </row>
    <row r="273" customFormat="false" ht="15" hidden="false" customHeight="false" outlineLevel="0" collapsed="false">
      <c r="A273" s="9" t="s">
        <v>25</v>
      </c>
      <c r="B273" s="10" t="s">
        <v>460</v>
      </c>
      <c r="C273" s="10" t="s">
        <v>474</v>
      </c>
      <c r="D273" s="10" t="s">
        <v>487</v>
      </c>
      <c r="E273" s="10" t="s">
        <v>47</v>
      </c>
      <c r="F273" s="10" t="s">
        <v>48</v>
      </c>
      <c r="G273" s="9" t="n">
        <v>115.4</v>
      </c>
      <c r="H273" s="10" t="s">
        <v>488</v>
      </c>
      <c r="I273" s="9"/>
    </row>
    <row r="274" customFormat="false" ht="15" hidden="false" customHeight="false" outlineLevel="0" collapsed="false">
      <c r="A274" s="9" t="s">
        <v>25</v>
      </c>
      <c r="B274" s="10" t="s">
        <v>460</v>
      </c>
      <c r="C274" s="10" t="s">
        <v>474</v>
      </c>
      <c r="D274" s="10" t="s">
        <v>489</v>
      </c>
      <c r="E274" s="10" t="s">
        <v>47</v>
      </c>
      <c r="F274" s="10" t="s">
        <v>48</v>
      </c>
      <c r="G274" s="9" t="n">
        <v>117.6</v>
      </c>
      <c r="H274" s="10" t="s">
        <v>478</v>
      </c>
      <c r="I274" s="9"/>
    </row>
    <row r="275" customFormat="false" ht="15" hidden="false" customHeight="false" outlineLevel="0" collapsed="false">
      <c r="A275" s="9" t="s">
        <v>25</v>
      </c>
      <c r="B275" s="10" t="s">
        <v>460</v>
      </c>
      <c r="C275" s="10" t="s">
        <v>474</v>
      </c>
      <c r="D275" s="10" t="s">
        <v>490</v>
      </c>
      <c r="E275" s="10" t="s">
        <v>47</v>
      </c>
      <c r="F275" s="10" t="s">
        <v>48</v>
      </c>
      <c r="G275" s="9" t="n">
        <v>137.9</v>
      </c>
      <c r="H275" s="10" t="s">
        <v>491</v>
      </c>
      <c r="I275" s="9"/>
    </row>
    <row r="276" customFormat="false" ht="15" hidden="false" customHeight="false" outlineLevel="0" collapsed="false">
      <c r="A276" s="9" t="s">
        <v>25</v>
      </c>
      <c r="B276" s="10" t="s">
        <v>460</v>
      </c>
      <c r="C276" s="10" t="s">
        <v>474</v>
      </c>
      <c r="D276" s="10" t="s">
        <v>492</v>
      </c>
      <c r="E276" s="10" t="s">
        <v>47</v>
      </c>
      <c r="F276" s="10" t="s">
        <v>48</v>
      </c>
      <c r="G276" s="9" t="n">
        <v>330</v>
      </c>
      <c r="H276" s="10" t="s">
        <v>493</v>
      </c>
      <c r="I276" s="9"/>
    </row>
    <row r="277" customFormat="false" ht="15" hidden="false" customHeight="false" outlineLevel="0" collapsed="false">
      <c r="A277" s="9" t="s">
        <v>25</v>
      </c>
      <c r="B277" s="10" t="s">
        <v>460</v>
      </c>
      <c r="C277" s="10" t="s">
        <v>474</v>
      </c>
      <c r="D277" s="10" t="s">
        <v>494</v>
      </c>
      <c r="E277" s="10" t="s">
        <v>47</v>
      </c>
      <c r="F277" s="10" t="s">
        <v>48</v>
      </c>
      <c r="G277" s="9" t="n">
        <v>265.4</v>
      </c>
      <c r="H277" s="10" t="s">
        <v>495</v>
      </c>
      <c r="I277" s="9"/>
    </row>
    <row r="278" customFormat="false" ht="15" hidden="false" customHeight="false" outlineLevel="0" collapsed="false">
      <c r="A278" s="9" t="s">
        <v>25</v>
      </c>
      <c r="B278" s="10" t="s">
        <v>460</v>
      </c>
      <c r="C278" s="10" t="s">
        <v>474</v>
      </c>
      <c r="D278" s="10" t="s">
        <v>496</v>
      </c>
      <c r="E278" s="10" t="s">
        <v>47</v>
      </c>
      <c r="F278" s="10" t="s">
        <v>58</v>
      </c>
      <c r="G278" s="9" t="n">
        <v>98.5</v>
      </c>
      <c r="H278" s="10" t="s">
        <v>495</v>
      </c>
      <c r="I278" s="9"/>
    </row>
    <row r="279" customFormat="false" ht="15" hidden="false" customHeight="false" outlineLevel="0" collapsed="false">
      <c r="A279" s="9" t="s">
        <v>25</v>
      </c>
      <c r="B279" s="10" t="s">
        <v>460</v>
      </c>
      <c r="C279" s="10" t="s">
        <v>474</v>
      </c>
      <c r="D279" s="10" t="s">
        <v>497</v>
      </c>
      <c r="E279" s="10" t="s">
        <v>47</v>
      </c>
      <c r="F279" s="10" t="s">
        <v>48</v>
      </c>
      <c r="G279" s="9" t="n">
        <v>993.8</v>
      </c>
      <c r="H279" s="10" t="s">
        <v>498</v>
      </c>
      <c r="I279" s="9"/>
    </row>
    <row r="280" customFormat="false" ht="15" hidden="false" customHeight="false" outlineLevel="0" collapsed="false">
      <c r="A280" s="9" t="s">
        <v>25</v>
      </c>
      <c r="B280" s="10" t="s">
        <v>460</v>
      </c>
      <c r="C280" s="10" t="s">
        <v>474</v>
      </c>
      <c r="D280" s="10" t="s">
        <v>499</v>
      </c>
      <c r="E280" s="10" t="s">
        <v>47</v>
      </c>
      <c r="F280" s="10" t="s">
        <v>48</v>
      </c>
      <c r="G280" s="9" t="n">
        <v>135.4</v>
      </c>
      <c r="H280" s="10" t="s">
        <v>493</v>
      </c>
      <c r="I280" s="9"/>
    </row>
    <row r="281" customFormat="false" ht="15" hidden="false" customHeight="false" outlineLevel="0" collapsed="false">
      <c r="A281" s="9" t="s">
        <v>25</v>
      </c>
      <c r="B281" s="10" t="s">
        <v>460</v>
      </c>
      <c r="C281" s="10" t="s">
        <v>474</v>
      </c>
      <c r="D281" s="10" t="s">
        <v>500</v>
      </c>
      <c r="E281" s="10" t="s">
        <v>47</v>
      </c>
      <c r="F281" s="10" t="s">
        <v>58</v>
      </c>
      <c r="G281" s="9" t="n">
        <v>98.5</v>
      </c>
      <c r="H281" s="10" t="s">
        <v>495</v>
      </c>
      <c r="I281" s="9"/>
    </row>
    <row r="282" customFormat="false" ht="15" hidden="false" customHeight="false" outlineLevel="0" collapsed="false">
      <c r="A282" s="9" t="s">
        <v>25</v>
      </c>
      <c r="B282" s="10" t="s">
        <v>460</v>
      </c>
      <c r="C282" s="10" t="s">
        <v>474</v>
      </c>
      <c r="D282" s="10" t="s">
        <v>501</v>
      </c>
      <c r="E282" s="10" t="s">
        <v>47</v>
      </c>
      <c r="F282" s="10" t="s">
        <v>48</v>
      </c>
      <c r="G282" s="9" t="n">
        <v>59561.8</v>
      </c>
      <c r="H282" s="10" t="s">
        <v>502</v>
      </c>
      <c r="I282" s="9"/>
    </row>
    <row r="283" customFormat="false" ht="15" hidden="false" customHeight="false" outlineLevel="0" collapsed="false">
      <c r="A283" s="9" t="s">
        <v>25</v>
      </c>
      <c r="B283" s="10" t="s">
        <v>460</v>
      </c>
      <c r="C283" s="10" t="s">
        <v>474</v>
      </c>
      <c r="D283" s="10" t="s">
        <v>503</v>
      </c>
      <c r="E283" s="10" t="s">
        <v>47</v>
      </c>
      <c r="F283" s="10" t="s">
        <v>48</v>
      </c>
      <c r="G283" s="9" t="n">
        <v>7471.9</v>
      </c>
      <c r="H283" s="10" t="s">
        <v>504</v>
      </c>
      <c r="I283" s="9"/>
    </row>
    <row r="284" customFormat="false" ht="15" hidden="false" customHeight="false" outlineLevel="0" collapsed="false">
      <c r="A284" s="9" t="s">
        <v>25</v>
      </c>
      <c r="B284" s="10" t="s">
        <v>460</v>
      </c>
      <c r="C284" s="10" t="s">
        <v>474</v>
      </c>
      <c r="D284" s="10" t="s">
        <v>505</v>
      </c>
      <c r="E284" s="10" t="s">
        <v>226</v>
      </c>
      <c r="F284" s="10" t="s">
        <v>227</v>
      </c>
      <c r="G284" s="9" t="n">
        <v>142510</v>
      </c>
      <c r="H284" s="10" t="s">
        <v>504</v>
      </c>
      <c r="I284" s="9"/>
    </row>
    <row r="285" customFormat="false" ht="15" hidden="false" customHeight="false" outlineLevel="0" collapsed="false">
      <c r="A285" s="9" t="s">
        <v>25</v>
      </c>
      <c r="B285" s="10" t="s">
        <v>460</v>
      </c>
      <c r="C285" s="10" t="s">
        <v>474</v>
      </c>
      <c r="D285" s="10" t="s">
        <v>506</v>
      </c>
      <c r="E285" s="10" t="s">
        <v>47</v>
      </c>
      <c r="F285" s="10" t="s">
        <v>507</v>
      </c>
      <c r="G285" s="9" t="n">
        <v>3303.5</v>
      </c>
      <c r="H285" s="10" t="s">
        <v>504</v>
      </c>
      <c r="I285" s="9"/>
    </row>
    <row r="286" customFormat="false" ht="15" hidden="false" customHeight="false" outlineLevel="0" collapsed="false">
      <c r="A286" s="9" t="s">
        <v>25</v>
      </c>
      <c r="B286" s="10" t="s">
        <v>460</v>
      </c>
      <c r="C286" s="10" t="s">
        <v>474</v>
      </c>
      <c r="D286" s="9" t="s">
        <v>508</v>
      </c>
      <c r="E286" s="10" t="s">
        <v>47</v>
      </c>
      <c r="F286" s="10" t="s">
        <v>48</v>
      </c>
      <c r="G286" s="9" t="n">
        <v>315.8</v>
      </c>
      <c r="H286" s="10" t="s">
        <v>509</v>
      </c>
      <c r="I286" s="9"/>
    </row>
    <row r="287" customFormat="false" ht="15" hidden="false" customHeight="false" outlineLevel="0" collapsed="false">
      <c r="A287" s="9" t="s">
        <v>25</v>
      </c>
      <c r="B287" s="10" t="s">
        <v>460</v>
      </c>
      <c r="C287" s="10" t="s">
        <v>474</v>
      </c>
      <c r="D287" s="9" t="s">
        <v>510</v>
      </c>
      <c r="E287" s="10" t="s">
        <v>47</v>
      </c>
      <c r="F287" s="10" t="s">
        <v>48</v>
      </c>
      <c r="G287" s="9" t="n">
        <v>305.3</v>
      </c>
      <c r="H287" s="10" t="s">
        <v>509</v>
      </c>
      <c r="I287" s="9"/>
    </row>
    <row r="288" customFormat="false" ht="15" hidden="false" customHeight="false" outlineLevel="0" collapsed="false">
      <c r="A288" s="9" t="s">
        <v>25</v>
      </c>
      <c r="B288" s="10" t="s">
        <v>460</v>
      </c>
      <c r="C288" s="10" t="s">
        <v>474</v>
      </c>
      <c r="D288" s="9" t="s">
        <v>511</v>
      </c>
      <c r="E288" s="10" t="s">
        <v>47</v>
      </c>
      <c r="F288" s="10" t="s">
        <v>48</v>
      </c>
      <c r="G288" s="9" t="n">
        <v>306.7</v>
      </c>
      <c r="H288" s="10" t="s">
        <v>509</v>
      </c>
      <c r="I288" s="9"/>
    </row>
    <row r="289" customFormat="false" ht="15" hidden="false" customHeight="false" outlineLevel="0" collapsed="false">
      <c r="A289" s="9" t="s">
        <v>25</v>
      </c>
      <c r="B289" s="10" t="s">
        <v>460</v>
      </c>
      <c r="C289" s="10" t="s">
        <v>512</v>
      </c>
      <c r="D289" s="10" t="s">
        <v>513</v>
      </c>
      <c r="E289" s="10" t="s">
        <v>47</v>
      </c>
      <c r="F289" s="10" t="s">
        <v>48</v>
      </c>
      <c r="G289" s="9" t="n">
        <v>1706.5</v>
      </c>
      <c r="H289" s="10" t="s">
        <v>502</v>
      </c>
      <c r="I289" s="9"/>
    </row>
    <row r="290" customFormat="false" ht="15" hidden="false" customHeight="false" outlineLevel="0" collapsed="false">
      <c r="A290" s="9" t="s">
        <v>25</v>
      </c>
      <c r="B290" s="10" t="s">
        <v>460</v>
      </c>
      <c r="C290" s="10" t="s">
        <v>512</v>
      </c>
      <c r="D290" s="10" t="s">
        <v>514</v>
      </c>
      <c r="E290" s="10" t="s">
        <v>47</v>
      </c>
      <c r="F290" s="10" t="s">
        <v>48</v>
      </c>
      <c r="G290" s="9" t="n">
        <v>1471.8</v>
      </c>
      <c r="H290" s="10" t="s">
        <v>502</v>
      </c>
      <c r="I290" s="9"/>
    </row>
    <row r="291" customFormat="false" ht="15" hidden="false" customHeight="false" outlineLevel="0" collapsed="false">
      <c r="A291" s="9" t="s">
        <v>25</v>
      </c>
      <c r="B291" s="10" t="s">
        <v>460</v>
      </c>
      <c r="C291" s="10" t="s">
        <v>512</v>
      </c>
      <c r="D291" s="10" t="s">
        <v>515</v>
      </c>
      <c r="E291" s="10" t="s">
        <v>47</v>
      </c>
      <c r="F291" s="10" t="s">
        <v>48</v>
      </c>
      <c r="G291" s="9" t="n">
        <v>445</v>
      </c>
      <c r="H291" s="10" t="s">
        <v>502</v>
      </c>
      <c r="I291" s="9"/>
    </row>
    <row r="292" customFormat="false" ht="15" hidden="false" customHeight="false" outlineLevel="0" collapsed="false">
      <c r="A292" s="9" t="s">
        <v>25</v>
      </c>
      <c r="B292" s="10" t="s">
        <v>460</v>
      </c>
      <c r="C292" s="10" t="s">
        <v>512</v>
      </c>
      <c r="D292" s="10" t="s">
        <v>516</v>
      </c>
      <c r="E292" s="10" t="s">
        <v>47</v>
      </c>
      <c r="F292" s="10" t="s">
        <v>48</v>
      </c>
      <c r="G292" s="9" t="n">
        <v>571.8</v>
      </c>
      <c r="H292" s="10" t="s">
        <v>502</v>
      </c>
      <c r="I292" s="9"/>
    </row>
    <row r="293" customFormat="false" ht="15" hidden="false" customHeight="false" outlineLevel="0" collapsed="false">
      <c r="A293" s="9" t="s">
        <v>25</v>
      </c>
      <c r="B293" s="10" t="s">
        <v>460</v>
      </c>
      <c r="C293" s="10" t="s">
        <v>512</v>
      </c>
      <c r="D293" s="10" t="s">
        <v>517</v>
      </c>
      <c r="E293" s="10" t="s">
        <v>47</v>
      </c>
      <c r="F293" s="10" t="s">
        <v>48</v>
      </c>
      <c r="G293" s="9" t="n">
        <v>657.4</v>
      </c>
      <c r="H293" s="10" t="s">
        <v>502</v>
      </c>
      <c r="I293" s="9"/>
    </row>
    <row r="294" customFormat="false" ht="15" hidden="false" customHeight="false" outlineLevel="0" collapsed="false">
      <c r="A294" s="9" t="s">
        <v>25</v>
      </c>
      <c r="B294" s="10" t="s">
        <v>460</v>
      </c>
      <c r="C294" s="10" t="s">
        <v>512</v>
      </c>
      <c r="D294" s="10" t="s">
        <v>518</v>
      </c>
      <c r="E294" s="10" t="s">
        <v>47</v>
      </c>
      <c r="F294" s="10" t="s">
        <v>48</v>
      </c>
      <c r="G294" s="9" t="n">
        <v>1185.9</v>
      </c>
      <c r="H294" s="10" t="s">
        <v>502</v>
      </c>
      <c r="I294" s="9"/>
    </row>
    <row r="295" customFormat="false" ht="15" hidden="false" customHeight="false" outlineLevel="0" collapsed="false">
      <c r="A295" s="9" t="s">
        <v>25</v>
      </c>
      <c r="B295" s="10" t="s">
        <v>460</v>
      </c>
      <c r="C295" s="10" t="s">
        <v>519</v>
      </c>
      <c r="D295" s="10" t="s">
        <v>520</v>
      </c>
      <c r="E295" s="10" t="s">
        <v>47</v>
      </c>
      <c r="F295" s="10" t="s">
        <v>48</v>
      </c>
      <c r="G295" s="9" t="n">
        <v>1107.6</v>
      </c>
      <c r="H295" s="10" t="s">
        <v>502</v>
      </c>
      <c r="I295" s="9"/>
    </row>
    <row r="296" customFormat="false" ht="15" hidden="false" customHeight="false" outlineLevel="0" collapsed="false">
      <c r="A296" s="9" t="s">
        <v>25</v>
      </c>
      <c r="B296" s="10" t="s">
        <v>460</v>
      </c>
      <c r="C296" s="10" t="s">
        <v>519</v>
      </c>
      <c r="D296" s="10" t="s">
        <v>521</v>
      </c>
      <c r="E296" s="10" t="s">
        <v>47</v>
      </c>
      <c r="F296" s="10" t="s">
        <v>48</v>
      </c>
      <c r="G296" s="9" t="n">
        <v>1561.7</v>
      </c>
      <c r="H296" s="10" t="s">
        <v>502</v>
      </c>
      <c r="I296" s="9"/>
    </row>
    <row r="297" customFormat="false" ht="15" hidden="false" customHeight="false" outlineLevel="0" collapsed="false">
      <c r="A297" s="9" t="s">
        <v>25</v>
      </c>
      <c r="B297" s="10" t="s">
        <v>460</v>
      </c>
      <c r="C297" s="10" t="s">
        <v>519</v>
      </c>
      <c r="D297" s="10" t="s">
        <v>522</v>
      </c>
      <c r="E297" s="10" t="s">
        <v>47</v>
      </c>
      <c r="F297" s="10" t="s">
        <v>523</v>
      </c>
      <c r="G297" s="9" t="n">
        <v>246.5</v>
      </c>
      <c r="H297" s="10" t="s">
        <v>524</v>
      </c>
      <c r="I297" s="9"/>
    </row>
    <row r="298" customFormat="false" ht="15" hidden="false" customHeight="false" outlineLevel="0" collapsed="false">
      <c r="A298" s="9" t="s">
        <v>25</v>
      </c>
      <c r="B298" s="10" t="s">
        <v>460</v>
      </c>
      <c r="C298" s="10" t="s">
        <v>519</v>
      </c>
      <c r="D298" s="10" t="s">
        <v>525</v>
      </c>
      <c r="E298" s="10" t="s">
        <v>47</v>
      </c>
      <c r="F298" s="10" t="s">
        <v>523</v>
      </c>
      <c r="G298" s="9" t="n">
        <v>387.5</v>
      </c>
      <c r="H298" s="10" t="s">
        <v>524</v>
      </c>
      <c r="I298" s="9"/>
    </row>
    <row r="299" customFormat="false" ht="15" hidden="false" customHeight="false" outlineLevel="0" collapsed="false">
      <c r="A299" s="9" t="s">
        <v>25</v>
      </c>
      <c r="B299" s="10" t="s">
        <v>460</v>
      </c>
      <c r="C299" s="10" t="s">
        <v>519</v>
      </c>
      <c r="D299" s="10" t="s">
        <v>526</v>
      </c>
      <c r="E299" s="10" t="s">
        <v>47</v>
      </c>
      <c r="F299" s="10" t="s">
        <v>523</v>
      </c>
      <c r="G299" s="9" t="n">
        <v>454.2</v>
      </c>
      <c r="H299" s="10" t="s">
        <v>524</v>
      </c>
      <c r="I299" s="9"/>
    </row>
    <row r="300" customFormat="false" ht="15" hidden="false" customHeight="false" outlineLevel="0" collapsed="false">
      <c r="A300" s="9" t="s">
        <v>25</v>
      </c>
      <c r="B300" s="10" t="s">
        <v>460</v>
      </c>
      <c r="C300" s="10" t="s">
        <v>519</v>
      </c>
      <c r="D300" s="10" t="s">
        <v>527</v>
      </c>
      <c r="E300" s="10" t="s">
        <v>47</v>
      </c>
      <c r="F300" s="10" t="s">
        <v>523</v>
      </c>
      <c r="G300" s="9" t="n">
        <v>511.8</v>
      </c>
      <c r="H300" s="10" t="s">
        <v>524</v>
      </c>
      <c r="I300" s="9"/>
    </row>
    <row r="301" customFormat="false" ht="15" hidden="false" customHeight="false" outlineLevel="0" collapsed="false">
      <c r="A301" s="9" t="s">
        <v>25</v>
      </c>
      <c r="B301" s="10" t="s">
        <v>460</v>
      </c>
      <c r="C301" s="10" t="s">
        <v>519</v>
      </c>
      <c r="D301" s="10" t="s">
        <v>528</v>
      </c>
      <c r="E301" s="10" t="s">
        <v>47</v>
      </c>
      <c r="F301" s="10" t="s">
        <v>48</v>
      </c>
      <c r="G301" s="9" t="n">
        <v>1247.6</v>
      </c>
      <c r="H301" s="10" t="s">
        <v>529</v>
      </c>
      <c r="I301" s="9"/>
    </row>
    <row r="302" customFormat="false" ht="15" hidden="false" customHeight="false" outlineLevel="0" collapsed="false">
      <c r="A302" s="9" t="s">
        <v>25</v>
      </c>
      <c r="B302" s="10" t="s">
        <v>460</v>
      </c>
      <c r="C302" s="10" t="s">
        <v>530</v>
      </c>
      <c r="D302" s="10" t="s">
        <v>462</v>
      </c>
      <c r="E302" s="10" t="s">
        <v>47</v>
      </c>
      <c r="F302" s="10" t="s">
        <v>48</v>
      </c>
      <c r="G302" s="9" t="n">
        <v>1491.4</v>
      </c>
      <c r="H302" s="10" t="s">
        <v>418</v>
      </c>
      <c r="I302" s="9"/>
    </row>
    <row r="303" customFormat="false" ht="15" hidden="false" customHeight="false" outlineLevel="0" collapsed="false">
      <c r="A303" s="9" t="s">
        <v>25</v>
      </c>
      <c r="B303" s="10" t="s">
        <v>460</v>
      </c>
      <c r="C303" s="10" t="s">
        <v>531</v>
      </c>
      <c r="D303" s="10" t="s">
        <v>532</v>
      </c>
      <c r="E303" s="10" t="s">
        <v>47</v>
      </c>
      <c r="F303" s="10" t="s">
        <v>48</v>
      </c>
      <c r="G303" s="9" t="n">
        <v>1343.9</v>
      </c>
      <c r="H303" s="10" t="s">
        <v>418</v>
      </c>
      <c r="I303" s="9"/>
    </row>
    <row r="304" customFormat="false" ht="15" hidden="false" customHeight="false" outlineLevel="0" collapsed="false">
      <c r="A304" s="9" t="s">
        <v>25</v>
      </c>
      <c r="B304" s="10" t="s">
        <v>460</v>
      </c>
      <c r="C304" s="10" t="s">
        <v>531</v>
      </c>
      <c r="D304" s="10" t="s">
        <v>533</v>
      </c>
      <c r="E304" s="10" t="s">
        <v>47</v>
      </c>
      <c r="F304" s="10" t="s">
        <v>523</v>
      </c>
      <c r="G304" s="9" t="n">
        <v>458.7</v>
      </c>
      <c r="H304" s="10" t="s">
        <v>534</v>
      </c>
      <c r="I304" s="9"/>
    </row>
    <row r="305" customFormat="false" ht="15" hidden="false" customHeight="false" outlineLevel="0" collapsed="false">
      <c r="A305" s="9" t="s">
        <v>25</v>
      </c>
      <c r="B305" s="10" t="s">
        <v>460</v>
      </c>
      <c r="C305" s="10" t="s">
        <v>531</v>
      </c>
      <c r="D305" s="10" t="s">
        <v>535</v>
      </c>
      <c r="E305" s="10" t="s">
        <v>47</v>
      </c>
      <c r="F305" s="10" t="s">
        <v>523</v>
      </c>
      <c r="G305" s="9" t="n">
        <v>245.4</v>
      </c>
      <c r="H305" s="10" t="s">
        <v>534</v>
      </c>
      <c r="I305" s="9"/>
    </row>
    <row r="306" customFormat="false" ht="15" hidden="false" customHeight="false" outlineLevel="0" collapsed="false">
      <c r="A306" s="9" t="s">
        <v>25</v>
      </c>
      <c r="B306" s="10" t="s">
        <v>460</v>
      </c>
      <c r="C306" s="10" t="s">
        <v>531</v>
      </c>
      <c r="D306" s="10" t="s">
        <v>536</v>
      </c>
      <c r="E306" s="10" t="s">
        <v>47</v>
      </c>
      <c r="F306" s="10" t="s">
        <v>523</v>
      </c>
      <c r="G306" s="9" t="n">
        <v>383.2</v>
      </c>
      <c r="H306" s="10" t="s">
        <v>534</v>
      </c>
      <c r="I306" s="9"/>
    </row>
    <row r="307" customFormat="false" ht="15" hidden="false" customHeight="false" outlineLevel="0" collapsed="false">
      <c r="A307" s="9" t="s">
        <v>25</v>
      </c>
      <c r="B307" s="10" t="s">
        <v>460</v>
      </c>
      <c r="C307" s="10" t="s">
        <v>531</v>
      </c>
      <c r="D307" s="10" t="s">
        <v>537</v>
      </c>
      <c r="E307" s="10" t="s">
        <v>47</v>
      </c>
      <c r="F307" s="10" t="s">
        <v>523</v>
      </c>
      <c r="G307" s="9" t="n">
        <v>438.6</v>
      </c>
      <c r="H307" s="10" t="s">
        <v>534</v>
      </c>
      <c r="I307" s="9"/>
    </row>
    <row r="308" customFormat="false" ht="15" hidden="false" customHeight="false" outlineLevel="0" collapsed="false">
      <c r="A308" s="9" t="s">
        <v>25</v>
      </c>
      <c r="B308" s="10" t="s">
        <v>460</v>
      </c>
      <c r="C308" s="10" t="s">
        <v>531</v>
      </c>
      <c r="D308" s="10" t="s">
        <v>538</v>
      </c>
      <c r="E308" s="10" t="s">
        <v>47</v>
      </c>
      <c r="F308" s="10" t="s">
        <v>523</v>
      </c>
      <c r="G308" s="9" t="n">
        <v>482</v>
      </c>
      <c r="H308" s="10" t="s">
        <v>534</v>
      </c>
      <c r="I308" s="9"/>
    </row>
    <row r="309" customFormat="false" ht="15" hidden="false" customHeight="false" outlineLevel="0" collapsed="false">
      <c r="A309" s="9" t="s">
        <v>25</v>
      </c>
      <c r="B309" s="10" t="s">
        <v>460</v>
      </c>
      <c r="C309" s="10" t="s">
        <v>539</v>
      </c>
      <c r="D309" s="10" t="s">
        <v>540</v>
      </c>
      <c r="E309" s="10" t="s">
        <v>47</v>
      </c>
      <c r="F309" s="10" t="s">
        <v>523</v>
      </c>
      <c r="G309" s="9" t="n">
        <v>886.2</v>
      </c>
      <c r="H309" s="10" t="s">
        <v>534</v>
      </c>
      <c r="I309" s="9"/>
    </row>
    <row r="310" customFormat="false" ht="15" hidden="false" customHeight="false" outlineLevel="0" collapsed="false">
      <c r="A310" s="9" t="s">
        <v>25</v>
      </c>
      <c r="B310" s="10" t="s">
        <v>460</v>
      </c>
      <c r="C310" s="10" t="s">
        <v>539</v>
      </c>
      <c r="D310" s="10" t="s">
        <v>541</v>
      </c>
      <c r="E310" s="10" t="s">
        <v>47</v>
      </c>
      <c r="F310" s="10" t="s">
        <v>523</v>
      </c>
      <c r="G310" s="9" t="n">
        <v>471.1</v>
      </c>
      <c r="H310" s="10" t="s">
        <v>534</v>
      </c>
      <c r="I310" s="9"/>
    </row>
    <row r="311" customFormat="false" ht="15" hidden="false" customHeight="false" outlineLevel="0" collapsed="false">
      <c r="A311" s="9" t="s">
        <v>25</v>
      </c>
      <c r="B311" s="10" t="s">
        <v>460</v>
      </c>
      <c r="C311" s="10" t="s">
        <v>539</v>
      </c>
      <c r="D311" s="10" t="s">
        <v>542</v>
      </c>
      <c r="E311" s="10" t="s">
        <v>47</v>
      </c>
      <c r="F311" s="10" t="s">
        <v>523</v>
      </c>
      <c r="G311" s="9" t="n">
        <v>248.2</v>
      </c>
      <c r="H311" s="10" t="s">
        <v>534</v>
      </c>
      <c r="I311" s="9"/>
    </row>
    <row r="312" customFormat="false" ht="15" hidden="false" customHeight="false" outlineLevel="0" collapsed="false">
      <c r="A312" s="9" t="s">
        <v>25</v>
      </c>
      <c r="B312" s="10" t="s">
        <v>460</v>
      </c>
      <c r="C312" s="10" t="s">
        <v>539</v>
      </c>
      <c r="D312" s="10" t="s">
        <v>543</v>
      </c>
      <c r="E312" s="10" t="s">
        <v>47</v>
      </c>
      <c r="F312" s="10" t="s">
        <v>523</v>
      </c>
      <c r="G312" s="9" t="n">
        <v>385.4</v>
      </c>
      <c r="H312" s="10" t="s">
        <v>534</v>
      </c>
      <c r="I312" s="9"/>
    </row>
    <row r="313" customFormat="false" ht="15" hidden="false" customHeight="false" outlineLevel="0" collapsed="false">
      <c r="A313" s="9" t="s">
        <v>25</v>
      </c>
      <c r="B313" s="10" t="s">
        <v>460</v>
      </c>
      <c r="C313" s="10" t="s">
        <v>539</v>
      </c>
      <c r="D313" s="10" t="s">
        <v>544</v>
      </c>
      <c r="E313" s="10" t="s">
        <v>47</v>
      </c>
      <c r="F313" s="10" t="s">
        <v>523</v>
      </c>
      <c r="G313" s="9" t="n">
        <v>452</v>
      </c>
      <c r="H313" s="10" t="s">
        <v>534</v>
      </c>
      <c r="I313" s="9"/>
    </row>
    <row r="314" customFormat="false" ht="15" hidden="false" customHeight="false" outlineLevel="0" collapsed="false">
      <c r="A314" s="9" t="s">
        <v>25</v>
      </c>
      <c r="B314" s="10" t="s">
        <v>460</v>
      </c>
      <c r="C314" s="10" t="s">
        <v>539</v>
      </c>
      <c r="D314" s="10" t="s">
        <v>545</v>
      </c>
      <c r="E314" s="10" t="s">
        <v>47</v>
      </c>
      <c r="F314" s="10" t="s">
        <v>523</v>
      </c>
      <c r="G314" s="9" t="n">
        <v>498</v>
      </c>
      <c r="H314" s="10" t="s">
        <v>534</v>
      </c>
      <c r="I314" s="9"/>
    </row>
    <row r="315" customFormat="false" ht="15" hidden="false" customHeight="false" outlineLevel="0" collapsed="false">
      <c r="A315" s="9" t="s">
        <v>26</v>
      </c>
      <c r="B315" s="10" t="s">
        <v>546</v>
      </c>
      <c r="C315" s="10" t="s">
        <v>547</v>
      </c>
      <c r="D315" s="10" t="s">
        <v>548</v>
      </c>
      <c r="E315" s="10" t="s">
        <v>47</v>
      </c>
      <c r="F315" s="10" t="s">
        <v>48</v>
      </c>
      <c r="G315" s="9" t="n">
        <v>398.3</v>
      </c>
      <c r="H315" s="10" t="s">
        <v>549</v>
      </c>
      <c r="I315" s="9"/>
    </row>
    <row r="316" customFormat="false" ht="15" hidden="false" customHeight="false" outlineLevel="0" collapsed="false">
      <c r="A316" s="9" t="s">
        <v>26</v>
      </c>
      <c r="B316" s="10" t="s">
        <v>546</v>
      </c>
      <c r="C316" s="10" t="s">
        <v>547</v>
      </c>
      <c r="D316" s="10" t="s">
        <v>550</v>
      </c>
      <c r="E316" s="10" t="s">
        <v>47</v>
      </c>
      <c r="F316" s="10" t="s">
        <v>58</v>
      </c>
      <c r="G316" s="9" t="n">
        <v>50.5</v>
      </c>
      <c r="H316" s="10" t="s">
        <v>551</v>
      </c>
      <c r="I316" s="9"/>
    </row>
    <row r="317" customFormat="false" ht="15" hidden="false" customHeight="false" outlineLevel="0" collapsed="false">
      <c r="A317" s="9" t="s">
        <v>26</v>
      </c>
      <c r="B317" s="10" t="s">
        <v>546</v>
      </c>
      <c r="C317" s="10" t="s">
        <v>547</v>
      </c>
      <c r="D317" s="10" t="s">
        <v>552</v>
      </c>
      <c r="E317" s="10" t="s">
        <v>47</v>
      </c>
      <c r="F317" s="10" t="s">
        <v>58</v>
      </c>
      <c r="G317" s="9" t="n">
        <v>38</v>
      </c>
      <c r="H317" s="10" t="s">
        <v>553</v>
      </c>
      <c r="I317" s="9"/>
    </row>
    <row r="318" customFormat="false" ht="15" hidden="false" customHeight="false" outlineLevel="0" collapsed="false">
      <c r="A318" s="9" t="s">
        <v>26</v>
      </c>
      <c r="B318" s="10" t="s">
        <v>546</v>
      </c>
      <c r="C318" s="10" t="s">
        <v>547</v>
      </c>
      <c r="D318" s="10" t="s">
        <v>554</v>
      </c>
      <c r="E318" s="10" t="s">
        <v>47</v>
      </c>
      <c r="F318" s="10" t="s">
        <v>48</v>
      </c>
      <c r="G318" s="9" t="n">
        <v>130.3</v>
      </c>
      <c r="H318" s="10" t="s">
        <v>555</v>
      </c>
      <c r="I318" s="9"/>
    </row>
    <row r="319" customFormat="false" ht="15" hidden="false" customHeight="false" outlineLevel="0" collapsed="false">
      <c r="A319" s="9" t="s">
        <v>26</v>
      </c>
      <c r="B319" s="10" t="s">
        <v>546</v>
      </c>
      <c r="C319" s="10" t="s">
        <v>547</v>
      </c>
      <c r="D319" s="10" t="s">
        <v>556</v>
      </c>
      <c r="E319" s="10" t="s">
        <v>47</v>
      </c>
      <c r="F319" s="10" t="s">
        <v>48</v>
      </c>
      <c r="G319" s="9" t="n">
        <v>118.5</v>
      </c>
      <c r="H319" s="10" t="s">
        <v>555</v>
      </c>
      <c r="I319" s="9"/>
    </row>
    <row r="320" customFormat="false" ht="15" hidden="false" customHeight="false" outlineLevel="0" collapsed="false">
      <c r="A320" s="9" t="s">
        <v>26</v>
      </c>
      <c r="B320" s="10" t="s">
        <v>546</v>
      </c>
      <c r="C320" s="10" t="s">
        <v>547</v>
      </c>
      <c r="D320" s="10" t="s">
        <v>557</v>
      </c>
      <c r="E320" s="10" t="s">
        <v>47</v>
      </c>
      <c r="F320" s="10" t="s">
        <v>48</v>
      </c>
      <c r="G320" s="9" t="n">
        <v>146.3</v>
      </c>
      <c r="H320" s="10" t="s">
        <v>555</v>
      </c>
      <c r="I320" s="9"/>
    </row>
    <row r="321" customFormat="false" ht="15" hidden="false" customHeight="false" outlineLevel="0" collapsed="false">
      <c r="A321" s="9" t="s">
        <v>26</v>
      </c>
      <c r="B321" s="10" t="s">
        <v>546</v>
      </c>
      <c r="C321" s="10" t="s">
        <v>547</v>
      </c>
      <c r="D321" s="10" t="s">
        <v>558</v>
      </c>
      <c r="E321" s="10" t="s">
        <v>47</v>
      </c>
      <c r="F321" s="10" t="s">
        <v>48</v>
      </c>
      <c r="G321" s="9" t="n">
        <v>128.8</v>
      </c>
      <c r="H321" s="10" t="s">
        <v>559</v>
      </c>
      <c r="I321" s="9"/>
    </row>
    <row r="322" customFormat="false" ht="15" hidden="false" customHeight="false" outlineLevel="0" collapsed="false">
      <c r="A322" s="9" t="s">
        <v>26</v>
      </c>
      <c r="B322" s="10" t="s">
        <v>546</v>
      </c>
      <c r="C322" s="10" t="s">
        <v>547</v>
      </c>
      <c r="D322" s="10" t="s">
        <v>560</v>
      </c>
      <c r="E322" s="10" t="s">
        <v>47</v>
      </c>
      <c r="F322" s="10" t="s">
        <v>48</v>
      </c>
      <c r="G322" s="9" t="n">
        <v>143.5</v>
      </c>
      <c r="H322" s="10" t="s">
        <v>561</v>
      </c>
      <c r="I322" s="9"/>
    </row>
    <row r="323" customFormat="false" ht="15" hidden="false" customHeight="false" outlineLevel="0" collapsed="false">
      <c r="A323" s="9" t="s">
        <v>26</v>
      </c>
      <c r="B323" s="10" t="s">
        <v>546</v>
      </c>
      <c r="C323" s="10" t="s">
        <v>547</v>
      </c>
      <c r="D323" s="10" t="s">
        <v>562</v>
      </c>
      <c r="E323" s="10" t="s">
        <v>47</v>
      </c>
      <c r="F323" s="10" t="s">
        <v>48</v>
      </c>
      <c r="G323" s="9" t="n">
        <v>118.5</v>
      </c>
      <c r="H323" s="10" t="s">
        <v>551</v>
      </c>
      <c r="I323" s="9"/>
    </row>
    <row r="324" customFormat="false" ht="15" hidden="false" customHeight="false" outlineLevel="0" collapsed="false">
      <c r="A324" s="9" t="s">
        <v>26</v>
      </c>
      <c r="B324" s="10" t="s">
        <v>546</v>
      </c>
      <c r="C324" s="10" t="s">
        <v>547</v>
      </c>
      <c r="D324" s="10" t="s">
        <v>563</v>
      </c>
      <c r="E324" s="10" t="s">
        <v>47</v>
      </c>
      <c r="F324" s="10" t="s">
        <v>48</v>
      </c>
      <c r="G324" s="9" t="n">
        <v>496.1</v>
      </c>
      <c r="H324" s="10" t="s">
        <v>564</v>
      </c>
      <c r="I324" s="9"/>
    </row>
    <row r="325" customFormat="false" ht="15" hidden="false" customHeight="false" outlineLevel="0" collapsed="false">
      <c r="A325" s="9" t="s">
        <v>26</v>
      </c>
      <c r="B325" s="10" t="s">
        <v>546</v>
      </c>
      <c r="C325" s="10" t="s">
        <v>547</v>
      </c>
      <c r="D325" s="10" t="s">
        <v>565</v>
      </c>
      <c r="E325" s="10" t="s">
        <v>47</v>
      </c>
      <c r="F325" s="10" t="s">
        <v>48</v>
      </c>
      <c r="G325" s="9" t="n">
        <v>653.4</v>
      </c>
      <c r="H325" s="10" t="s">
        <v>566</v>
      </c>
      <c r="I325" s="9"/>
    </row>
    <row r="326" customFormat="false" ht="15" hidden="false" customHeight="false" outlineLevel="0" collapsed="false">
      <c r="A326" s="9" t="s">
        <v>26</v>
      </c>
      <c r="B326" s="10" t="s">
        <v>546</v>
      </c>
      <c r="C326" s="10" t="s">
        <v>547</v>
      </c>
      <c r="D326" s="10" t="s">
        <v>567</v>
      </c>
      <c r="E326" s="10" t="s">
        <v>47</v>
      </c>
      <c r="F326" s="10" t="s">
        <v>58</v>
      </c>
      <c r="G326" s="9" t="n">
        <v>381.1</v>
      </c>
      <c r="H326" s="10" t="s">
        <v>566</v>
      </c>
      <c r="I326" s="9"/>
    </row>
    <row r="327" customFormat="false" ht="15" hidden="false" customHeight="false" outlineLevel="0" collapsed="false">
      <c r="A327" s="9" t="s">
        <v>26</v>
      </c>
      <c r="B327" s="10" t="s">
        <v>546</v>
      </c>
      <c r="C327" s="10" t="s">
        <v>547</v>
      </c>
      <c r="D327" s="10" t="s">
        <v>568</v>
      </c>
      <c r="E327" s="10" t="s">
        <v>47</v>
      </c>
      <c r="F327" s="10" t="s">
        <v>48</v>
      </c>
      <c r="G327" s="9" t="n">
        <v>551.4</v>
      </c>
      <c r="H327" s="10" t="s">
        <v>561</v>
      </c>
      <c r="I327" s="9"/>
    </row>
    <row r="328" customFormat="false" ht="15" hidden="false" customHeight="false" outlineLevel="0" collapsed="false">
      <c r="A328" s="9" t="s">
        <v>26</v>
      </c>
      <c r="B328" s="10" t="s">
        <v>546</v>
      </c>
      <c r="C328" s="10" t="s">
        <v>547</v>
      </c>
      <c r="D328" s="10" t="s">
        <v>569</v>
      </c>
      <c r="E328" s="10" t="s">
        <v>47</v>
      </c>
      <c r="F328" s="10" t="s">
        <v>48</v>
      </c>
      <c r="G328" s="9" t="n">
        <v>551.4</v>
      </c>
      <c r="H328" s="10" t="s">
        <v>570</v>
      </c>
      <c r="I328" s="9"/>
    </row>
    <row r="329" customFormat="false" ht="15" hidden="false" customHeight="false" outlineLevel="0" collapsed="false">
      <c r="A329" s="9" t="s">
        <v>26</v>
      </c>
      <c r="B329" s="10" t="s">
        <v>546</v>
      </c>
      <c r="C329" s="10" t="s">
        <v>547</v>
      </c>
      <c r="D329" s="10" t="s">
        <v>571</v>
      </c>
      <c r="E329" s="10" t="s">
        <v>47</v>
      </c>
      <c r="F329" s="10" t="s">
        <v>48</v>
      </c>
      <c r="G329" s="9" t="n">
        <v>141.9</v>
      </c>
      <c r="H329" s="10" t="s">
        <v>561</v>
      </c>
      <c r="I329" s="9"/>
    </row>
    <row r="330" customFormat="false" ht="15" hidden="false" customHeight="false" outlineLevel="0" collapsed="false">
      <c r="A330" s="9" t="s">
        <v>26</v>
      </c>
      <c r="B330" s="10" t="s">
        <v>546</v>
      </c>
      <c r="C330" s="10" t="s">
        <v>547</v>
      </c>
      <c r="D330" s="10" t="s">
        <v>572</v>
      </c>
      <c r="E330" s="10" t="s">
        <v>47</v>
      </c>
      <c r="F330" s="10" t="s">
        <v>58</v>
      </c>
      <c r="G330" s="9" t="n">
        <v>9.6</v>
      </c>
      <c r="H330" s="10" t="s">
        <v>162</v>
      </c>
      <c r="I330" s="9"/>
    </row>
    <row r="331" customFormat="false" ht="15" hidden="false" customHeight="false" outlineLevel="0" collapsed="false">
      <c r="A331" s="9" t="s">
        <v>26</v>
      </c>
      <c r="B331" s="10" t="s">
        <v>546</v>
      </c>
      <c r="C331" s="10" t="s">
        <v>547</v>
      </c>
      <c r="D331" s="9" t="s">
        <v>573</v>
      </c>
      <c r="E331" s="10" t="s">
        <v>47</v>
      </c>
      <c r="F331" s="10" t="s">
        <v>48</v>
      </c>
      <c r="G331" s="9" t="n">
        <v>140.2</v>
      </c>
      <c r="H331" s="10" t="s">
        <v>574</v>
      </c>
      <c r="I331" s="9"/>
    </row>
    <row r="332" customFormat="false" ht="15" hidden="false" customHeight="false" outlineLevel="0" collapsed="false">
      <c r="A332" s="9" t="s">
        <v>26</v>
      </c>
      <c r="B332" s="10" t="s">
        <v>546</v>
      </c>
      <c r="C332" s="10" t="s">
        <v>575</v>
      </c>
      <c r="D332" s="10" t="s">
        <v>576</v>
      </c>
      <c r="E332" s="10" t="s">
        <v>47</v>
      </c>
      <c r="F332" s="10" t="s">
        <v>507</v>
      </c>
      <c r="G332" s="9" t="n">
        <v>205.3</v>
      </c>
      <c r="H332" s="10" t="s">
        <v>570</v>
      </c>
      <c r="I332" s="9"/>
    </row>
    <row r="333" customFormat="false" ht="15" hidden="false" customHeight="false" outlineLevel="0" collapsed="false">
      <c r="A333" s="9" t="s">
        <v>26</v>
      </c>
      <c r="B333" s="10" t="s">
        <v>546</v>
      </c>
      <c r="C333" s="10" t="s">
        <v>575</v>
      </c>
      <c r="D333" s="10" t="s">
        <v>577</v>
      </c>
      <c r="E333" s="10" t="s">
        <v>47</v>
      </c>
      <c r="F333" s="10" t="s">
        <v>507</v>
      </c>
      <c r="G333" s="9" t="n">
        <v>246.1</v>
      </c>
      <c r="H333" s="10" t="s">
        <v>570</v>
      </c>
      <c r="I333" s="9"/>
    </row>
    <row r="334" customFormat="false" ht="15" hidden="false" customHeight="false" outlineLevel="0" collapsed="false">
      <c r="A334" s="9" t="s">
        <v>26</v>
      </c>
      <c r="B334" s="10" t="s">
        <v>546</v>
      </c>
      <c r="C334" s="10" t="s">
        <v>575</v>
      </c>
      <c r="D334" s="10" t="s">
        <v>578</v>
      </c>
      <c r="E334" s="10" t="s">
        <v>47</v>
      </c>
      <c r="F334" s="10" t="s">
        <v>507</v>
      </c>
      <c r="G334" s="9" t="n">
        <v>141</v>
      </c>
      <c r="H334" s="10" t="s">
        <v>570</v>
      </c>
      <c r="I334" s="9"/>
    </row>
    <row r="335" customFormat="false" ht="15" hidden="false" customHeight="false" outlineLevel="0" collapsed="false">
      <c r="A335" s="9" t="s">
        <v>26</v>
      </c>
      <c r="B335" s="10" t="s">
        <v>546</v>
      </c>
      <c r="C335" s="10" t="s">
        <v>575</v>
      </c>
      <c r="D335" s="10" t="s">
        <v>579</v>
      </c>
      <c r="E335" s="10" t="s">
        <v>47</v>
      </c>
      <c r="F335" s="10" t="s">
        <v>507</v>
      </c>
      <c r="G335" s="9" t="n">
        <v>128.3</v>
      </c>
      <c r="H335" s="10" t="s">
        <v>570</v>
      </c>
      <c r="I335" s="9"/>
    </row>
    <row r="336" customFormat="false" ht="15" hidden="false" customHeight="false" outlineLevel="0" collapsed="false">
      <c r="A336" s="9" t="s">
        <v>26</v>
      </c>
      <c r="B336" s="10" t="s">
        <v>546</v>
      </c>
      <c r="C336" s="10" t="s">
        <v>575</v>
      </c>
      <c r="D336" s="10" t="s">
        <v>580</v>
      </c>
      <c r="E336" s="10" t="s">
        <v>47</v>
      </c>
      <c r="F336" s="10" t="s">
        <v>507</v>
      </c>
      <c r="G336" s="9" t="n">
        <v>127</v>
      </c>
      <c r="H336" s="10" t="s">
        <v>570</v>
      </c>
      <c r="I336" s="9"/>
    </row>
    <row r="337" customFormat="false" ht="15" hidden="false" customHeight="false" outlineLevel="0" collapsed="false">
      <c r="A337" s="9" t="s">
        <v>26</v>
      </c>
      <c r="B337" s="10" t="s">
        <v>546</v>
      </c>
      <c r="C337" s="10" t="s">
        <v>575</v>
      </c>
      <c r="D337" s="10" t="s">
        <v>581</v>
      </c>
      <c r="E337" s="10" t="s">
        <v>47</v>
      </c>
      <c r="F337" s="10" t="s">
        <v>507</v>
      </c>
      <c r="G337" s="9" t="n">
        <v>140.8</v>
      </c>
      <c r="H337" s="10" t="s">
        <v>570</v>
      </c>
      <c r="I337" s="9"/>
    </row>
    <row r="338" customFormat="false" ht="15" hidden="false" customHeight="false" outlineLevel="0" collapsed="false">
      <c r="A338" s="9" t="s">
        <v>26</v>
      </c>
      <c r="B338" s="10" t="s">
        <v>546</v>
      </c>
      <c r="C338" s="10" t="s">
        <v>575</v>
      </c>
      <c r="D338" s="10" t="s">
        <v>582</v>
      </c>
      <c r="E338" s="10" t="s">
        <v>47</v>
      </c>
      <c r="F338" s="10" t="s">
        <v>507</v>
      </c>
      <c r="G338" s="9" t="n">
        <v>243.3</v>
      </c>
      <c r="H338" s="10" t="s">
        <v>570</v>
      </c>
      <c r="I338" s="9"/>
    </row>
    <row r="339" customFormat="false" ht="15" hidden="false" customHeight="false" outlineLevel="0" collapsed="false">
      <c r="A339" s="9" t="s">
        <v>26</v>
      </c>
      <c r="B339" s="10" t="s">
        <v>546</v>
      </c>
      <c r="C339" s="10" t="s">
        <v>575</v>
      </c>
      <c r="D339" s="10" t="s">
        <v>583</v>
      </c>
      <c r="E339" s="10" t="s">
        <v>47</v>
      </c>
      <c r="F339" s="10" t="s">
        <v>507</v>
      </c>
      <c r="G339" s="9" t="n">
        <v>173.7</v>
      </c>
      <c r="H339" s="10" t="s">
        <v>570</v>
      </c>
      <c r="I339" s="9"/>
    </row>
    <row r="340" customFormat="false" ht="15" hidden="false" customHeight="false" outlineLevel="0" collapsed="false">
      <c r="A340" s="9" t="s">
        <v>26</v>
      </c>
      <c r="B340" s="10" t="s">
        <v>546</v>
      </c>
      <c r="C340" s="10" t="s">
        <v>575</v>
      </c>
      <c r="D340" s="10" t="s">
        <v>584</v>
      </c>
      <c r="E340" s="10" t="s">
        <v>47</v>
      </c>
      <c r="F340" s="10" t="s">
        <v>507</v>
      </c>
      <c r="G340" s="9" t="n">
        <v>188.6</v>
      </c>
      <c r="H340" s="10" t="s">
        <v>570</v>
      </c>
      <c r="I340" s="9"/>
    </row>
    <row r="341" customFormat="false" ht="15" hidden="false" customHeight="false" outlineLevel="0" collapsed="false">
      <c r="A341" s="9" t="s">
        <v>26</v>
      </c>
      <c r="B341" s="10" t="s">
        <v>546</v>
      </c>
      <c r="C341" s="10" t="s">
        <v>575</v>
      </c>
      <c r="D341" s="10" t="s">
        <v>585</v>
      </c>
      <c r="E341" s="10" t="s">
        <v>47</v>
      </c>
      <c r="F341" s="10" t="s">
        <v>507</v>
      </c>
      <c r="G341" s="9" t="n">
        <v>112.6</v>
      </c>
      <c r="H341" s="10" t="s">
        <v>570</v>
      </c>
      <c r="I341" s="9"/>
    </row>
    <row r="342" customFormat="false" ht="15" hidden="false" customHeight="false" outlineLevel="0" collapsed="false">
      <c r="A342" s="9" t="s">
        <v>26</v>
      </c>
      <c r="B342" s="10" t="s">
        <v>546</v>
      </c>
      <c r="C342" s="10" t="s">
        <v>575</v>
      </c>
      <c r="D342" s="10" t="s">
        <v>586</v>
      </c>
      <c r="E342" s="10" t="s">
        <v>47</v>
      </c>
      <c r="F342" s="10" t="s">
        <v>507</v>
      </c>
      <c r="G342" s="9" t="n">
        <v>174.8</v>
      </c>
      <c r="H342" s="10" t="s">
        <v>570</v>
      </c>
      <c r="I342" s="9"/>
    </row>
    <row r="343" customFormat="false" ht="15" hidden="false" customHeight="false" outlineLevel="0" collapsed="false">
      <c r="A343" s="9" t="s">
        <v>26</v>
      </c>
      <c r="B343" s="10" t="s">
        <v>546</v>
      </c>
      <c r="C343" s="10" t="s">
        <v>575</v>
      </c>
      <c r="D343" s="10" t="s">
        <v>587</v>
      </c>
      <c r="E343" s="10" t="s">
        <v>47</v>
      </c>
      <c r="F343" s="10" t="s">
        <v>507</v>
      </c>
      <c r="G343" s="9" t="n">
        <v>154.2</v>
      </c>
      <c r="H343" s="10" t="s">
        <v>570</v>
      </c>
      <c r="I343" s="9"/>
    </row>
    <row r="344" customFormat="false" ht="15" hidden="false" customHeight="false" outlineLevel="0" collapsed="false">
      <c r="A344" s="9" t="s">
        <v>26</v>
      </c>
      <c r="B344" s="10" t="s">
        <v>546</v>
      </c>
      <c r="C344" s="10" t="s">
        <v>575</v>
      </c>
      <c r="D344" s="9" t="s">
        <v>588</v>
      </c>
      <c r="E344" s="10" t="s">
        <v>47</v>
      </c>
      <c r="F344" s="10" t="s">
        <v>507</v>
      </c>
      <c r="G344" s="9" t="n">
        <v>116.3</v>
      </c>
      <c r="H344" s="10" t="s">
        <v>570</v>
      </c>
      <c r="I344" s="9"/>
    </row>
    <row r="345" customFormat="false" ht="15" hidden="false" customHeight="false" outlineLevel="0" collapsed="false">
      <c r="A345" s="9" t="s">
        <v>26</v>
      </c>
      <c r="B345" s="10" t="s">
        <v>546</v>
      </c>
      <c r="C345" s="10" t="s">
        <v>589</v>
      </c>
      <c r="D345" s="10" t="s">
        <v>590</v>
      </c>
      <c r="E345" s="10" t="s">
        <v>47</v>
      </c>
      <c r="F345" s="10" t="s">
        <v>507</v>
      </c>
      <c r="G345" s="9" t="n">
        <v>358.9</v>
      </c>
      <c r="H345" s="10" t="s">
        <v>591</v>
      </c>
      <c r="I345" s="9"/>
    </row>
    <row r="346" customFormat="false" ht="15" hidden="false" customHeight="false" outlineLevel="0" collapsed="false">
      <c r="A346" s="9" t="s">
        <v>26</v>
      </c>
      <c r="B346" s="10" t="s">
        <v>546</v>
      </c>
      <c r="C346" s="10" t="s">
        <v>589</v>
      </c>
      <c r="D346" s="10" t="s">
        <v>592</v>
      </c>
      <c r="E346" s="10" t="s">
        <v>47</v>
      </c>
      <c r="F346" s="10" t="s">
        <v>507</v>
      </c>
      <c r="G346" s="9" t="n">
        <v>535.7</v>
      </c>
      <c r="H346" s="10" t="s">
        <v>593</v>
      </c>
      <c r="I346" s="9"/>
    </row>
    <row r="347" customFormat="false" ht="15" hidden="false" customHeight="false" outlineLevel="0" collapsed="false">
      <c r="A347" s="9" t="s">
        <v>26</v>
      </c>
      <c r="B347" s="10" t="s">
        <v>546</v>
      </c>
      <c r="C347" s="10" t="s">
        <v>589</v>
      </c>
      <c r="D347" s="10" t="s">
        <v>594</v>
      </c>
      <c r="E347" s="10" t="s">
        <v>47</v>
      </c>
      <c r="F347" s="10" t="s">
        <v>507</v>
      </c>
      <c r="G347" s="9" t="n">
        <v>765.6</v>
      </c>
      <c r="H347" s="10" t="s">
        <v>595</v>
      </c>
      <c r="I347" s="9"/>
    </row>
    <row r="348" customFormat="false" ht="15" hidden="false" customHeight="false" outlineLevel="0" collapsed="false">
      <c r="A348" s="9" t="s">
        <v>26</v>
      </c>
      <c r="B348" s="10" t="s">
        <v>546</v>
      </c>
      <c r="C348" s="10" t="s">
        <v>589</v>
      </c>
      <c r="D348" s="9" t="s">
        <v>596</v>
      </c>
      <c r="E348" s="10" t="s">
        <v>47</v>
      </c>
      <c r="F348" s="10" t="s">
        <v>463</v>
      </c>
      <c r="G348" s="9" t="n">
        <v>1716.9</v>
      </c>
      <c r="H348" s="10" t="s">
        <v>597</v>
      </c>
      <c r="I348" s="9"/>
    </row>
    <row r="349" customFormat="false" ht="15" hidden="false" customHeight="false" outlineLevel="0" collapsed="false">
      <c r="A349" s="9" t="s">
        <v>26</v>
      </c>
      <c r="B349" s="10" t="s">
        <v>546</v>
      </c>
      <c r="C349" s="10" t="s">
        <v>589</v>
      </c>
      <c r="D349" s="9" t="s">
        <v>598</v>
      </c>
      <c r="E349" s="10" t="s">
        <v>47</v>
      </c>
      <c r="F349" s="10" t="s">
        <v>463</v>
      </c>
      <c r="G349" s="9" t="n">
        <v>239.1</v>
      </c>
      <c r="H349" s="10" t="s">
        <v>599</v>
      </c>
      <c r="I349" s="9"/>
    </row>
    <row r="350" customFormat="false" ht="15" hidden="false" customHeight="false" outlineLevel="0" collapsed="false">
      <c r="A350" s="9" t="s">
        <v>26</v>
      </c>
      <c r="B350" s="10" t="s">
        <v>546</v>
      </c>
      <c r="C350" s="10" t="s">
        <v>589</v>
      </c>
      <c r="D350" s="9" t="s">
        <v>600</v>
      </c>
      <c r="E350" s="10" t="s">
        <v>47</v>
      </c>
      <c r="F350" s="10" t="s">
        <v>463</v>
      </c>
      <c r="G350" s="9" t="n">
        <v>502.9</v>
      </c>
      <c r="H350" s="10" t="s">
        <v>597</v>
      </c>
      <c r="I350" s="9"/>
    </row>
    <row r="351" customFormat="false" ht="15" hidden="false" customHeight="false" outlineLevel="0" collapsed="false">
      <c r="A351" s="9" t="s">
        <v>26</v>
      </c>
      <c r="B351" s="10" t="s">
        <v>546</v>
      </c>
      <c r="C351" s="10" t="s">
        <v>589</v>
      </c>
      <c r="D351" s="9" t="s">
        <v>601</v>
      </c>
      <c r="E351" s="10" t="s">
        <v>47</v>
      </c>
      <c r="F351" s="10" t="s">
        <v>463</v>
      </c>
      <c r="G351" s="9" t="n">
        <v>202.7</v>
      </c>
      <c r="H351" s="10" t="s">
        <v>597</v>
      </c>
      <c r="I351" s="9"/>
    </row>
    <row r="352" customFormat="false" ht="15" hidden="false" customHeight="false" outlineLevel="0" collapsed="false">
      <c r="A352" s="9" t="s">
        <v>26</v>
      </c>
      <c r="B352" s="10" t="s">
        <v>546</v>
      </c>
      <c r="C352" s="10" t="s">
        <v>589</v>
      </c>
      <c r="D352" s="9" t="s">
        <v>602</v>
      </c>
      <c r="E352" s="10" t="s">
        <v>47</v>
      </c>
      <c r="F352" s="10" t="s">
        <v>463</v>
      </c>
      <c r="G352" s="9" t="n">
        <v>337</v>
      </c>
      <c r="H352" s="10" t="s">
        <v>599</v>
      </c>
      <c r="I352" s="9"/>
    </row>
    <row r="353" customFormat="false" ht="15" hidden="false" customHeight="false" outlineLevel="0" collapsed="false">
      <c r="A353" s="9" t="s">
        <v>26</v>
      </c>
      <c r="B353" s="10" t="s">
        <v>546</v>
      </c>
      <c r="C353" s="10" t="s">
        <v>589</v>
      </c>
      <c r="D353" s="9" t="s">
        <v>603</v>
      </c>
      <c r="E353" s="10" t="s">
        <v>47</v>
      </c>
      <c r="F353" s="10" t="s">
        <v>463</v>
      </c>
      <c r="G353" s="9" t="n">
        <v>243.8</v>
      </c>
      <c r="H353" s="10" t="s">
        <v>604</v>
      </c>
      <c r="I353" s="9"/>
    </row>
    <row r="354" customFormat="false" ht="15" hidden="false" customHeight="false" outlineLevel="0" collapsed="false">
      <c r="A354" s="9" t="s">
        <v>26</v>
      </c>
      <c r="B354" s="10" t="s">
        <v>546</v>
      </c>
      <c r="C354" s="10" t="s">
        <v>589</v>
      </c>
      <c r="D354" s="9" t="s">
        <v>605</v>
      </c>
      <c r="E354" s="10" t="s">
        <v>47</v>
      </c>
      <c r="F354" s="10" t="s">
        <v>463</v>
      </c>
      <c r="G354" s="9" t="n">
        <v>332.9</v>
      </c>
      <c r="H354" s="10" t="s">
        <v>604</v>
      </c>
      <c r="I354" s="9"/>
    </row>
    <row r="355" customFormat="false" ht="15" hidden="false" customHeight="false" outlineLevel="0" collapsed="false">
      <c r="A355" s="9" t="s">
        <v>26</v>
      </c>
      <c r="B355" s="10" t="s">
        <v>546</v>
      </c>
      <c r="C355" s="10" t="s">
        <v>589</v>
      </c>
      <c r="D355" s="9" t="s">
        <v>606</v>
      </c>
      <c r="E355" s="10" t="s">
        <v>47</v>
      </c>
      <c r="F355" s="10" t="s">
        <v>463</v>
      </c>
      <c r="G355" s="9" t="n">
        <v>2161.7</v>
      </c>
      <c r="H355" s="10" t="s">
        <v>597</v>
      </c>
      <c r="I355" s="9"/>
    </row>
    <row r="356" customFormat="false" ht="15" hidden="false" customHeight="false" outlineLevel="0" collapsed="false">
      <c r="A356" s="9" t="s">
        <v>26</v>
      </c>
      <c r="B356" s="10" t="s">
        <v>546</v>
      </c>
      <c r="C356" s="10" t="s">
        <v>589</v>
      </c>
      <c r="D356" s="9" t="s">
        <v>607</v>
      </c>
      <c r="E356" s="10" t="s">
        <v>47</v>
      </c>
      <c r="F356" s="10" t="s">
        <v>58</v>
      </c>
      <c r="G356" s="9" t="n">
        <v>1143.8</v>
      </c>
      <c r="H356" s="10" t="s">
        <v>608</v>
      </c>
      <c r="I356" s="9"/>
    </row>
    <row r="357" customFormat="false" ht="15" hidden="false" customHeight="false" outlineLevel="0" collapsed="false">
      <c r="A357" s="9" t="s">
        <v>26</v>
      </c>
      <c r="B357" s="10" t="s">
        <v>546</v>
      </c>
      <c r="C357" s="10" t="s">
        <v>589</v>
      </c>
      <c r="D357" s="9" t="s">
        <v>609</v>
      </c>
      <c r="E357" s="10" t="s">
        <v>47</v>
      </c>
      <c r="F357" s="10" t="s">
        <v>58</v>
      </c>
      <c r="G357" s="9" t="n">
        <v>124</v>
      </c>
      <c r="H357" s="10" t="s">
        <v>608</v>
      </c>
      <c r="I357" s="9"/>
    </row>
    <row r="358" customFormat="false" ht="15" hidden="false" customHeight="false" outlineLevel="0" collapsed="false">
      <c r="A358" s="9" t="s">
        <v>26</v>
      </c>
      <c r="B358" s="10" t="s">
        <v>546</v>
      </c>
      <c r="C358" s="10" t="s">
        <v>589</v>
      </c>
      <c r="D358" s="9" t="s">
        <v>610</v>
      </c>
      <c r="E358" s="10" t="s">
        <v>47</v>
      </c>
      <c r="F358" s="10" t="s">
        <v>507</v>
      </c>
      <c r="G358" s="9" t="n">
        <v>3020.5</v>
      </c>
      <c r="H358" s="10" t="s">
        <v>611</v>
      </c>
      <c r="I358" s="9"/>
    </row>
    <row r="359" customFormat="false" ht="15" hidden="false" customHeight="false" outlineLevel="0" collapsed="false">
      <c r="A359" s="9" t="s">
        <v>26</v>
      </c>
      <c r="B359" s="10" t="s">
        <v>546</v>
      </c>
      <c r="C359" s="10" t="s">
        <v>612</v>
      </c>
      <c r="D359" s="9" t="s">
        <v>613</v>
      </c>
      <c r="E359" s="10" t="s">
        <v>47</v>
      </c>
      <c r="F359" s="10" t="s">
        <v>237</v>
      </c>
      <c r="G359" s="9" t="n">
        <v>229.7</v>
      </c>
      <c r="H359" s="10" t="s">
        <v>614</v>
      </c>
      <c r="I359" s="9"/>
    </row>
    <row r="360" customFormat="false" ht="15" hidden="false" customHeight="false" outlineLevel="0" collapsed="false">
      <c r="A360" s="9" t="s">
        <v>26</v>
      </c>
      <c r="B360" s="10" t="s">
        <v>546</v>
      </c>
      <c r="C360" s="10" t="s">
        <v>612</v>
      </c>
      <c r="D360" s="9" t="s">
        <v>615</v>
      </c>
      <c r="E360" s="10" t="s">
        <v>47</v>
      </c>
      <c r="F360" s="10" t="s">
        <v>237</v>
      </c>
      <c r="G360" s="9" t="n">
        <v>276.3</v>
      </c>
      <c r="H360" s="10" t="s">
        <v>616</v>
      </c>
      <c r="I360" s="9"/>
    </row>
    <row r="361" customFormat="false" ht="15" hidden="false" customHeight="false" outlineLevel="0" collapsed="false">
      <c r="A361" s="9" t="s">
        <v>26</v>
      </c>
      <c r="B361" s="10" t="s">
        <v>546</v>
      </c>
      <c r="C361" s="10" t="s">
        <v>612</v>
      </c>
      <c r="D361" s="9" t="s">
        <v>617</v>
      </c>
      <c r="E361" s="10" t="s">
        <v>47</v>
      </c>
      <c r="F361" s="10" t="s">
        <v>237</v>
      </c>
      <c r="G361" s="9" t="n">
        <v>327.9</v>
      </c>
      <c r="H361" s="10" t="s">
        <v>616</v>
      </c>
      <c r="I361" s="9"/>
    </row>
    <row r="362" customFormat="false" ht="15" hidden="false" customHeight="false" outlineLevel="0" collapsed="false">
      <c r="A362" s="9" t="s">
        <v>26</v>
      </c>
      <c r="B362" s="10" t="s">
        <v>546</v>
      </c>
      <c r="C362" s="10" t="s">
        <v>612</v>
      </c>
      <c r="D362" s="9" t="s">
        <v>618</v>
      </c>
      <c r="E362" s="10" t="s">
        <v>47</v>
      </c>
      <c r="F362" s="10" t="s">
        <v>237</v>
      </c>
      <c r="G362" s="9" t="n">
        <v>314.2</v>
      </c>
      <c r="H362" s="10" t="s">
        <v>616</v>
      </c>
      <c r="I362" s="9"/>
    </row>
    <row r="363" customFormat="false" ht="15" hidden="false" customHeight="false" outlineLevel="0" collapsed="false">
      <c r="A363" s="9" t="s">
        <v>26</v>
      </c>
      <c r="B363" s="10" t="s">
        <v>546</v>
      </c>
      <c r="C363" s="10" t="s">
        <v>612</v>
      </c>
      <c r="D363" s="9" t="s">
        <v>619</v>
      </c>
      <c r="E363" s="10" t="s">
        <v>47</v>
      </c>
      <c r="F363" s="10" t="s">
        <v>58</v>
      </c>
      <c r="G363" s="9" t="n">
        <v>367.8</v>
      </c>
      <c r="H363" s="10" t="s">
        <v>555</v>
      </c>
      <c r="I363" s="9"/>
    </row>
    <row r="364" customFormat="false" ht="15" hidden="false" customHeight="false" outlineLevel="0" collapsed="false">
      <c r="A364" s="9" t="s">
        <v>26</v>
      </c>
      <c r="B364" s="10" t="s">
        <v>546</v>
      </c>
      <c r="C364" s="10" t="s">
        <v>612</v>
      </c>
      <c r="D364" s="9" t="s">
        <v>620</v>
      </c>
      <c r="E364" s="10" t="s">
        <v>47</v>
      </c>
      <c r="F364" s="10" t="s">
        <v>237</v>
      </c>
      <c r="G364" s="9" t="n">
        <v>1166.3</v>
      </c>
      <c r="H364" s="10" t="s">
        <v>621</v>
      </c>
      <c r="I364" s="9"/>
    </row>
    <row r="365" customFormat="false" ht="15" hidden="false" customHeight="false" outlineLevel="0" collapsed="false">
      <c r="A365" s="9" t="s">
        <v>26</v>
      </c>
      <c r="B365" s="10" t="s">
        <v>546</v>
      </c>
      <c r="C365" s="10" t="s">
        <v>612</v>
      </c>
      <c r="D365" s="9" t="s">
        <v>622</v>
      </c>
      <c r="E365" s="10" t="s">
        <v>47</v>
      </c>
      <c r="F365" s="10" t="s">
        <v>237</v>
      </c>
      <c r="G365" s="9" t="n">
        <v>261.4</v>
      </c>
      <c r="H365" s="10" t="s">
        <v>623</v>
      </c>
      <c r="I365" s="9"/>
    </row>
    <row r="366" customFormat="false" ht="15" hidden="false" customHeight="false" outlineLevel="0" collapsed="false">
      <c r="A366" s="9" t="s">
        <v>26</v>
      </c>
      <c r="B366" s="10" t="s">
        <v>546</v>
      </c>
      <c r="C366" s="10" t="s">
        <v>612</v>
      </c>
      <c r="D366" s="9" t="s">
        <v>624</v>
      </c>
      <c r="E366" s="10" t="s">
        <v>47</v>
      </c>
      <c r="F366" s="10" t="s">
        <v>237</v>
      </c>
      <c r="G366" s="9" t="n">
        <v>331.8</v>
      </c>
      <c r="H366" s="10" t="s">
        <v>616</v>
      </c>
      <c r="I366" s="9"/>
    </row>
    <row r="367" customFormat="false" ht="15" hidden="false" customHeight="false" outlineLevel="0" collapsed="false">
      <c r="A367" s="9" t="s">
        <v>26</v>
      </c>
      <c r="B367" s="10" t="s">
        <v>625</v>
      </c>
      <c r="C367" s="10" t="s">
        <v>626</v>
      </c>
      <c r="D367" s="10" t="s">
        <v>627</v>
      </c>
      <c r="E367" s="10" t="s">
        <v>47</v>
      </c>
      <c r="F367" s="10" t="s">
        <v>48</v>
      </c>
      <c r="G367" s="9" t="n">
        <v>364.5</v>
      </c>
      <c r="H367" s="10" t="s">
        <v>628</v>
      </c>
      <c r="I367" s="9"/>
    </row>
    <row r="368" customFormat="false" ht="15" hidden="false" customHeight="false" outlineLevel="0" collapsed="false">
      <c r="A368" s="9" t="s">
        <v>26</v>
      </c>
      <c r="B368" s="10" t="s">
        <v>625</v>
      </c>
      <c r="C368" s="10" t="s">
        <v>626</v>
      </c>
      <c r="D368" s="10" t="s">
        <v>629</v>
      </c>
      <c r="E368" s="10" t="s">
        <v>47</v>
      </c>
      <c r="F368" s="10" t="s">
        <v>48</v>
      </c>
      <c r="G368" s="9" t="n">
        <v>431.8</v>
      </c>
      <c r="H368" s="10" t="s">
        <v>630</v>
      </c>
      <c r="I368" s="9"/>
    </row>
    <row r="369" customFormat="false" ht="15" hidden="false" customHeight="false" outlineLevel="0" collapsed="false">
      <c r="A369" s="9" t="s">
        <v>26</v>
      </c>
      <c r="B369" s="10" t="s">
        <v>625</v>
      </c>
      <c r="C369" s="10" t="s">
        <v>626</v>
      </c>
      <c r="D369" s="10" t="s">
        <v>631</v>
      </c>
      <c r="E369" s="10" t="s">
        <v>47</v>
      </c>
      <c r="F369" s="10" t="s">
        <v>48</v>
      </c>
      <c r="G369" s="9" t="n">
        <v>157.4</v>
      </c>
      <c r="H369" s="10" t="s">
        <v>632</v>
      </c>
      <c r="I369" s="9"/>
    </row>
    <row r="370" customFormat="false" ht="15" hidden="false" customHeight="false" outlineLevel="0" collapsed="false">
      <c r="A370" s="9" t="s">
        <v>26</v>
      </c>
      <c r="B370" s="10" t="s">
        <v>625</v>
      </c>
      <c r="C370" s="10" t="s">
        <v>626</v>
      </c>
      <c r="D370" s="10" t="s">
        <v>633</v>
      </c>
      <c r="E370" s="10" t="s">
        <v>47</v>
      </c>
      <c r="F370" s="10" t="s">
        <v>48</v>
      </c>
      <c r="G370" s="9" t="n">
        <v>156.5</v>
      </c>
      <c r="H370" s="10" t="s">
        <v>632</v>
      </c>
      <c r="I370" s="9"/>
    </row>
    <row r="371" customFormat="false" ht="15" hidden="false" customHeight="false" outlineLevel="0" collapsed="false">
      <c r="A371" s="9" t="s">
        <v>26</v>
      </c>
      <c r="B371" s="10" t="s">
        <v>625</v>
      </c>
      <c r="C371" s="10" t="s">
        <v>626</v>
      </c>
      <c r="D371" s="10" t="s">
        <v>634</v>
      </c>
      <c r="E371" s="10" t="s">
        <v>47</v>
      </c>
      <c r="F371" s="10" t="s">
        <v>48</v>
      </c>
      <c r="G371" s="9" t="n">
        <v>151.4</v>
      </c>
      <c r="H371" s="10" t="s">
        <v>189</v>
      </c>
      <c r="I371" s="9"/>
    </row>
    <row r="372" customFormat="false" ht="15" hidden="false" customHeight="false" outlineLevel="0" collapsed="false">
      <c r="A372" s="9" t="s">
        <v>26</v>
      </c>
      <c r="B372" s="10" t="s">
        <v>625</v>
      </c>
      <c r="C372" s="10" t="s">
        <v>626</v>
      </c>
      <c r="D372" s="10" t="s">
        <v>635</v>
      </c>
      <c r="E372" s="10" t="s">
        <v>47</v>
      </c>
      <c r="F372" s="10" t="s">
        <v>48</v>
      </c>
      <c r="G372" s="9" t="n">
        <v>154.4</v>
      </c>
      <c r="H372" s="10" t="s">
        <v>191</v>
      </c>
      <c r="I372" s="9"/>
    </row>
    <row r="373" customFormat="false" ht="15" hidden="false" customHeight="false" outlineLevel="0" collapsed="false">
      <c r="A373" s="9" t="s">
        <v>26</v>
      </c>
      <c r="B373" s="10" t="s">
        <v>625</v>
      </c>
      <c r="C373" s="10" t="s">
        <v>626</v>
      </c>
      <c r="D373" s="10" t="s">
        <v>636</v>
      </c>
      <c r="E373" s="10" t="s">
        <v>47</v>
      </c>
      <c r="F373" s="10" t="s">
        <v>48</v>
      </c>
      <c r="G373" s="9" t="n">
        <v>131.2</v>
      </c>
      <c r="H373" s="10" t="s">
        <v>637</v>
      </c>
      <c r="I373" s="9"/>
    </row>
    <row r="374" customFormat="false" ht="15" hidden="false" customHeight="false" outlineLevel="0" collapsed="false">
      <c r="A374" s="9" t="s">
        <v>26</v>
      </c>
      <c r="B374" s="10" t="s">
        <v>625</v>
      </c>
      <c r="C374" s="10" t="s">
        <v>626</v>
      </c>
      <c r="D374" s="10" t="s">
        <v>638</v>
      </c>
      <c r="E374" s="10" t="s">
        <v>47</v>
      </c>
      <c r="F374" s="10" t="s">
        <v>58</v>
      </c>
      <c r="G374" s="9" t="n">
        <v>48.5</v>
      </c>
      <c r="H374" s="10" t="s">
        <v>639</v>
      </c>
      <c r="I374" s="9"/>
    </row>
    <row r="375" customFormat="false" ht="15" hidden="false" customHeight="false" outlineLevel="0" collapsed="false">
      <c r="A375" s="9" t="s">
        <v>26</v>
      </c>
      <c r="B375" s="10" t="s">
        <v>625</v>
      </c>
      <c r="C375" s="10" t="s">
        <v>626</v>
      </c>
      <c r="D375" s="10" t="s">
        <v>640</v>
      </c>
      <c r="E375" s="10" t="s">
        <v>47</v>
      </c>
      <c r="F375" s="10" t="s">
        <v>48</v>
      </c>
      <c r="G375" s="9" t="n">
        <v>194.3</v>
      </c>
      <c r="H375" s="10" t="s">
        <v>179</v>
      </c>
      <c r="I375" s="9"/>
    </row>
    <row r="376" customFormat="false" ht="15" hidden="false" customHeight="false" outlineLevel="0" collapsed="false">
      <c r="A376" s="9" t="s">
        <v>26</v>
      </c>
      <c r="B376" s="10" t="s">
        <v>625</v>
      </c>
      <c r="C376" s="10" t="s">
        <v>626</v>
      </c>
      <c r="D376" s="10" t="s">
        <v>641</v>
      </c>
      <c r="E376" s="10" t="s">
        <v>47</v>
      </c>
      <c r="F376" s="10" t="s">
        <v>48</v>
      </c>
      <c r="G376" s="9" t="n">
        <v>228.4</v>
      </c>
      <c r="H376" s="10" t="s">
        <v>179</v>
      </c>
      <c r="I376" s="9"/>
    </row>
    <row r="377" customFormat="false" ht="15" hidden="false" customHeight="false" outlineLevel="0" collapsed="false">
      <c r="A377" s="9" t="s">
        <v>26</v>
      </c>
      <c r="B377" s="10" t="s">
        <v>625</v>
      </c>
      <c r="C377" s="10" t="s">
        <v>626</v>
      </c>
      <c r="D377" s="10" t="s">
        <v>642</v>
      </c>
      <c r="E377" s="10" t="s">
        <v>47</v>
      </c>
      <c r="F377" s="10" t="s">
        <v>48</v>
      </c>
      <c r="G377" s="9" t="n">
        <v>134.7</v>
      </c>
      <c r="H377" s="10" t="s">
        <v>202</v>
      </c>
      <c r="I377" s="9"/>
    </row>
    <row r="378" customFormat="false" ht="15" hidden="false" customHeight="false" outlineLevel="0" collapsed="false">
      <c r="A378" s="9" t="s">
        <v>26</v>
      </c>
      <c r="B378" s="10" t="s">
        <v>625</v>
      </c>
      <c r="C378" s="10" t="s">
        <v>626</v>
      </c>
      <c r="D378" s="10" t="s">
        <v>643</v>
      </c>
      <c r="E378" s="10" t="s">
        <v>47</v>
      </c>
      <c r="F378" s="10" t="s">
        <v>48</v>
      </c>
      <c r="G378" s="9" t="n">
        <v>120.5</v>
      </c>
      <c r="H378" s="10" t="s">
        <v>187</v>
      </c>
      <c r="I378" s="9"/>
    </row>
    <row r="379" customFormat="false" ht="15" hidden="false" customHeight="false" outlineLevel="0" collapsed="false">
      <c r="A379" s="9" t="s">
        <v>26</v>
      </c>
      <c r="B379" s="10" t="s">
        <v>625</v>
      </c>
      <c r="C379" s="10" t="s">
        <v>626</v>
      </c>
      <c r="D379" s="10" t="s">
        <v>644</v>
      </c>
      <c r="E379" s="10" t="s">
        <v>47</v>
      </c>
      <c r="F379" s="10" t="s">
        <v>48</v>
      </c>
      <c r="G379" s="9" t="n">
        <v>154.6</v>
      </c>
      <c r="H379" s="10" t="s">
        <v>183</v>
      </c>
      <c r="I379" s="9"/>
    </row>
    <row r="380" customFormat="false" ht="15" hidden="false" customHeight="false" outlineLevel="0" collapsed="false">
      <c r="A380" s="9" t="s">
        <v>26</v>
      </c>
      <c r="B380" s="10" t="s">
        <v>625</v>
      </c>
      <c r="C380" s="10" t="s">
        <v>626</v>
      </c>
      <c r="D380" s="10" t="s">
        <v>645</v>
      </c>
      <c r="E380" s="10" t="s">
        <v>47</v>
      </c>
      <c r="F380" s="10" t="s">
        <v>58</v>
      </c>
      <c r="G380" s="9" t="n">
        <v>121.5</v>
      </c>
      <c r="H380" s="10" t="s">
        <v>646</v>
      </c>
      <c r="I380" s="9"/>
    </row>
    <row r="381" customFormat="false" ht="15" hidden="false" customHeight="false" outlineLevel="0" collapsed="false">
      <c r="A381" s="9" t="s">
        <v>26</v>
      </c>
      <c r="B381" s="10" t="s">
        <v>69</v>
      </c>
      <c r="C381" s="10" t="s">
        <v>647</v>
      </c>
      <c r="D381" s="9" t="s">
        <v>648</v>
      </c>
      <c r="E381" s="10" t="s">
        <v>226</v>
      </c>
      <c r="F381" s="10" t="s">
        <v>227</v>
      </c>
      <c r="G381" s="9" t="n">
        <v>3461</v>
      </c>
      <c r="H381" s="10" t="s">
        <v>649</v>
      </c>
      <c r="I381" s="9"/>
    </row>
    <row r="382" customFormat="false" ht="15" hidden="false" customHeight="false" outlineLevel="0" collapsed="false">
      <c r="A382" s="9" t="s">
        <v>26</v>
      </c>
      <c r="B382" s="10" t="s">
        <v>69</v>
      </c>
      <c r="C382" s="10" t="s">
        <v>647</v>
      </c>
      <c r="D382" s="9" t="s">
        <v>650</v>
      </c>
      <c r="E382" s="10" t="s">
        <v>226</v>
      </c>
      <c r="F382" s="10" t="s">
        <v>227</v>
      </c>
      <c r="G382" s="9" t="n">
        <v>3461</v>
      </c>
      <c r="H382" s="10" t="s">
        <v>649</v>
      </c>
      <c r="I382" s="9"/>
    </row>
    <row r="383" customFormat="false" ht="15" hidden="false" customHeight="false" outlineLevel="0" collapsed="false">
      <c r="A383" s="9" t="s">
        <v>26</v>
      </c>
      <c r="B383" s="10" t="s">
        <v>651</v>
      </c>
      <c r="C383" s="10" t="s">
        <v>652</v>
      </c>
      <c r="D383" s="10" t="s">
        <v>653</v>
      </c>
      <c r="E383" s="10" t="s">
        <v>47</v>
      </c>
      <c r="F383" s="10" t="s">
        <v>48</v>
      </c>
      <c r="G383" s="9" t="n">
        <v>114.8</v>
      </c>
      <c r="H383" s="10" t="s">
        <v>654</v>
      </c>
      <c r="I383" s="9"/>
    </row>
    <row r="384" customFormat="false" ht="15" hidden="false" customHeight="false" outlineLevel="0" collapsed="false">
      <c r="A384" s="9" t="s">
        <v>26</v>
      </c>
      <c r="B384" s="10" t="s">
        <v>651</v>
      </c>
      <c r="C384" s="10" t="s">
        <v>652</v>
      </c>
      <c r="D384" s="10" t="s">
        <v>655</v>
      </c>
      <c r="E384" s="10" t="s">
        <v>47</v>
      </c>
      <c r="F384" s="10" t="s">
        <v>48</v>
      </c>
      <c r="G384" s="9" t="n">
        <v>238.9</v>
      </c>
      <c r="H384" s="10" t="s">
        <v>656</v>
      </c>
      <c r="I384" s="9"/>
    </row>
    <row r="385" customFormat="false" ht="15" hidden="false" customHeight="false" outlineLevel="0" collapsed="false">
      <c r="A385" s="9" t="s">
        <v>26</v>
      </c>
      <c r="B385" s="10" t="s">
        <v>651</v>
      </c>
      <c r="C385" s="10" t="s">
        <v>652</v>
      </c>
      <c r="D385" s="10" t="s">
        <v>657</v>
      </c>
      <c r="E385" s="10" t="s">
        <v>47</v>
      </c>
      <c r="F385" s="10" t="s">
        <v>48</v>
      </c>
      <c r="G385" s="9" t="n">
        <v>174.4</v>
      </c>
      <c r="H385" s="10" t="s">
        <v>658</v>
      </c>
      <c r="I385" s="9"/>
    </row>
    <row r="386" customFormat="false" ht="15" hidden="false" customHeight="false" outlineLevel="0" collapsed="false">
      <c r="A386" s="9" t="s">
        <v>26</v>
      </c>
      <c r="B386" s="10" t="s">
        <v>651</v>
      </c>
      <c r="C386" s="10" t="s">
        <v>652</v>
      </c>
      <c r="D386" s="10" t="s">
        <v>659</v>
      </c>
      <c r="E386" s="10" t="s">
        <v>47</v>
      </c>
      <c r="F386" s="10" t="s">
        <v>48</v>
      </c>
      <c r="G386" s="9" t="n">
        <v>518.9</v>
      </c>
      <c r="H386" s="10" t="s">
        <v>660</v>
      </c>
      <c r="I386" s="9"/>
    </row>
    <row r="387" customFormat="false" ht="15" hidden="false" customHeight="false" outlineLevel="0" collapsed="false">
      <c r="A387" s="9" t="s">
        <v>26</v>
      </c>
      <c r="B387" s="10" t="s">
        <v>651</v>
      </c>
      <c r="C387" s="10" t="s">
        <v>652</v>
      </c>
      <c r="D387" s="10" t="s">
        <v>661</v>
      </c>
      <c r="E387" s="10" t="s">
        <v>47</v>
      </c>
      <c r="F387" s="10" t="s">
        <v>48</v>
      </c>
      <c r="G387" s="9" t="n">
        <v>310.4</v>
      </c>
      <c r="H387" s="10" t="s">
        <v>662</v>
      </c>
      <c r="I387" s="9"/>
    </row>
    <row r="388" customFormat="false" ht="15" hidden="false" customHeight="false" outlineLevel="0" collapsed="false">
      <c r="A388" s="9" t="s">
        <v>26</v>
      </c>
      <c r="B388" s="10" t="s">
        <v>651</v>
      </c>
      <c r="C388" s="10" t="s">
        <v>652</v>
      </c>
      <c r="D388" s="10" t="s">
        <v>663</v>
      </c>
      <c r="E388" s="10" t="s">
        <v>47</v>
      </c>
      <c r="F388" s="10" t="s">
        <v>58</v>
      </c>
      <c r="G388" s="9" t="n">
        <v>83.4</v>
      </c>
      <c r="H388" s="10" t="s">
        <v>656</v>
      </c>
      <c r="I388" s="9"/>
    </row>
    <row r="389" customFormat="false" ht="15" hidden="false" customHeight="false" outlineLevel="0" collapsed="false">
      <c r="A389" s="9" t="s">
        <v>26</v>
      </c>
      <c r="B389" s="10" t="s">
        <v>651</v>
      </c>
      <c r="C389" s="10" t="s">
        <v>652</v>
      </c>
      <c r="D389" s="10" t="s">
        <v>664</v>
      </c>
      <c r="E389" s="10" t="s">
        <v>47</v>
      </c>
      <c r="F389" s="10" t="s">
        <v>48</v>
      </c>
      <c r="G389" s="9" t="n">
        <v>176.4</v>
      </c>
      <c r="H389" s="10" t="s">
        <v>665</v>
      </c>
      <c r="I389" s="9"/>
    </row>
    <row r="390" customFormat="false" ht="15" hidden="false" customHeight="false" outlineLevel="0" collapsed="false">
      <c r="A390" s="9" t="s">
        <v>26</v>
      </c>
      <c r="B390" s="10" t="s">
        <v>651</v>
      </c>
      <c r="C390" s="10" t="s">
        <v>652</v>
      </c>
      <c r="D390" s="10" t="s">
        <v>666</v>
      </c>
      <c r="E390" s="10" t="s">
        <v>47</v>
      </c>
      <c r="F390" s="10" t="s">
        <v>48</v>
      </c>
      <c r="G390" s="9" t="n">
        <v>134.9</v>
      </c>
      <c r="H390" s="10" t="s">
        <v>667</v>
      </c>
      <c r="I390" s="9"/>
    </row>
    <row r="391" customFormat="false" ht="15" hidden="false" customHeight="false" outlineLevel="0" collapsed="false">
      <c r="A391" s="9" t="s">
        <v>26</v>
      </c>
      <c r="B391" s="10" t="s">
        <v>651</v>
      </c>
      <c r="C391" s="10" t="s">
        <v>652</v>
      </c>
      <c r="D391" s="10" t="s">
        <v>668</v>
      </c>
      <c r="E391" s="10" t="s">
        <v>47</v>
      </c>
      <c r="F391" s="10" t="s">
        <v>48</v>
      </c>
      <c r="G391" s="9" t="n">
        <v>600.5</v>
      </c>
      <c r="H391" s="10" t="s">
        <v>654</v>
      </c>
      <c r="I391" s="9"/>
    </row>
    <row r="392" customFormat="false" ht="15" hidden="false" customHeight="false" outlineLevel="0" collapsed="false">
      <c r="A392" s="9" t="s">
        <v>26</v>
      </c>
      <c r="B392" s="10" t="s">
        <v>651</v>
      </c>
      <c r="C392" s="10" t="s">
        <v>652</v>
      </c>
      <c r="D392" s="10" t="s">
        <v>669</v>
      </c>
      <c r="E392" s="10" t="s">
        <v>47</v>
      </c>
      <c r="F392" s="10" t="s">
        <v>48</v>
      </c>
      <c r="G392" s="9" t="n">
        <v>115.4</v>
      </c>
      <c r="H392" s="10" t="s">
        <v>670</v>
      </c>
      <c r="I392" s="9"/>
    </row>
    <row r="393" customFormat="false" ht="15" hidden="false" customHeight="false" outlineLevel="0" collapsed="false">
      <c r="A393" s="9" t="s">
        <v>26</v>
      </c>
      <c r="B393" s="10" t="s">
        <v>651</v>
      </c>
      <c r="C393" s="10" t="s">
        <v>652</v>
      </c>
      <c r="D393" s="10" t="s">
        <v>671</v>
      </c>
      <c r="E393" s="10" t="s">
        <v>47</v>
      </c>
      <c r="F393" s="10" t="s">
        <v>48</v>
      </c>
      <c r="G393" s="9" t="n">
        <v>113.7</v>
      </c>
      <c r="H393" s="10" t="s">
        <v>670</v>
      </c>
      <c r="I393" s="9"/>
    </row>
    <row r="394" customFormat="false" ht="15" hidden="false" customHeight="false" outlineLevel="0" collapsed="false">
      <c r="A394" s="9" t="s">
        <v>26</v>
      </c>
      <c r="B394" s="10" t="s">
        <v>651</v>
      </c>
      <c r="C394" s="10" t="s">
        <v>652</v>
      </c>
      <c r="D394" s="10" t="s">
        <v>672</v>
      </c>
      <c r="E394" s="10" t="s">
        <v>47</v>
      </c>
      <c r="F394" s="10" t="s">
        <v>48</v>
      </c>
      <c r="G394" s="9" t="n">
        <v>137.2</v>
      </c>
      <c r="H394" s="10" t="s">
        <v>656</v>
      </c>
      <c r="I394" s="9"/>
    </row>
    <row r="395" customFormat="false" ht="15" hidden="false" customHeight="false" outlineLevel="0" collapsed="false">
      <c r="A395" s="9" t="s">
        <v>26</v>
      </c>
      <c r="B395" s="10" t="s">
        <v>651</v>
      </c>
      <c r="C395" s="10" t="s">
        <v>652</v>
      </c>
      <c r="D395" s="10" t="s">
        <v>673</v>
      </c>
      <c r="E395" s="10" t="s">
        <v>47</v>
      </c>
      <c r="F395" s="10" t="s">
        <v>48</v>
      </c>
      <c r="G395" s="9" t="n">
        <v>121.4</v>
      </c>
      <c r="H395" s="10" t="s">
        <v>81</v>
      </c>
      <c r="I395" s="9"/>
    </row>
    <row r="396" customFormat="false" ht="15" hidden="false" customHeight="false" outlineLevel="0" collapsed="false">
      <c r="A396" s="9" t="s">
        <v>26</v>
      </c>
      <c r="B396" s="10" t="s">
        <v>651</v>
      </c>
      <c r="C396" s="10" t="s">
        <v>652</v>
      </c>
      <c r="D396" s="10" t="s">
        <v>674</v>
      </c>
      <c r="E396" s="10" t="s">
        <v>47</v>
      </c>
      <c r="F396" s="10" t="s">
        <v>48</v>
      </c>
      <c r="G396" s="9" t="n">
        <v>116.1</v>
      </c>
      <c r="H396" s="10" t="s">
        <v>675</v>
      </c>
      <c r="I396" s="9"/>
    </row>
    <row r="397" customFormat="false" ht="15" hidden="false" customHeight="false" outlineLevel="0" collapsed="false">
      <c r="A397" s="9" t="s">
        <v>26</v>
      </c>
      <c r="B397" s="10" t="s">
        <v>651</v>
      </c>
      <c r="C397" s="10" t="s">
        <v>652</v>
      </c>
      <c r="D397" s="9" t="s">
        <v>676</v>
      </c>
      <c r="E397" s="10" t="s">
        <v>47</v>
      </c>
      <c r="F397" s="10" t="s">
        <v>48</v>
      </c>
      <c r="G397" s="9" t="n">
        <v>19795.4</v>
      </c>
      <c r="H397" s="10" t="s">
        <v>677</v>
      </c>
      <c r="I397" s="9"/>
    </row>
    <row r="398" customFormat="false" ht="15" hidden="false" customHeight="false" outlineLevel="0" collapsed="false">
      <c r="A398" s="9" t="s">
        <v>26</v>
      </c>
      <c r="B398" s="10" t="s">
        <v>651</v>
      </c>
      <c r="C398" s="10" t="s">
        <v>652</v>
      </c>
      <c r="D398" s="9" t="s">
        <v>678</v>
      </c>
      <c r="E398" s="10" t="s">
        <v>47</v>
      </c>
      <c r="F398" s="10" t="s">
        <v>48</v>
      </c>
      <c r="G398" s="9" t="n">
        <v>1087.5</v>
      </c>
      <c r="H398" s="10" t="s">
        <v>677</v>
      </c>
      <c r="I398" s="9"/>
    </row>
    <row r="399" customFormat="false" ht="15" hidden="false" customHeight="false" outlineLevel="0" collapsed="false">
      <c r="A399" s="9" t="s">
        <v>26</v>
      </c>
      <c r="B399" s="10" t="s">
        <v>651</v>
      </c>
      <c r="C399" s="10" t="s">
        <v>652</v>
      </c>
      <c r="D399" s="9" t="s">
        <v>679</v>
      </c>
      <c r="E399" s="10" t="s">
        <v>47</v>
      </c>
      <c r="F399" s="10" t="s">
        <v>48</v>
      </c>
      <c r="G399" s="9" t="n">
        <v>19882.6</v>
      </c>
      <c r="H399" s="10" t="s">
        <v>680</v>
      </c>
      <c r="I399" s="9"/>
    </row>
    <row r="400" customFormat="false" ht="15" hidden="false" customHeight="false" outlineLevel="0" collapsed="false">
      <c r="A400" s="9" t="s">
        <v>26</v>
      </c>
      <c r="B400" s="10" t="s">
        <v>651</v>
      </c>
      <c r="C400" s="10" t="s">
        <v>652</v>
      </c>
      <c r="D400" s="9" t="s">
        <v>681</v>
      </c>
      <c r="E400" s="10" t="s">
        <v>47</v>
      </c>
      <c r="F400" s="10" t="s">
        <v>48</v>
      </c>
      <c r="G400" s="9" t="n">
        <v>19878.4</v>
      </c>
      <c r="H400" s="10" t="s">
        <v>680</v>
      </c>
      <c r="I400" s="9"/>
    </row>
    <row r="401" customFormat="false" ht="15" hidden="false" customHeight="false" outlineLevel="0" collapsed="false">
      <c r="A401" s="9" t="s">
        <v>26</v>
      </c>
      <c r="B401" s="10" t="s">
        <v>651</v>
      </c>
      <c r="C401" s="10" t="s">
        <v>682</v>
      </c>
      <c r="D401" s="9" t="s">
        <v>683</v>
      </c>
      <c r="E401" s="10" t="s">
        <v>47</v>
      </c>
      <c r="F401" s="10" t="s">
        <v>523</v>
      </c>
      <c r="G401" s="9" t="n">
        <v>220.5</v>
      </c>
      <c r="H401" s="10" t="s">
        <v>654</v>
      </c>
      <c r="I401" s="9"/>
    </row>
    <row r="402" customFormat="false" ht="15" hidden="false" customHeight="false" outlineLevel="0" collapsed="false">
      <c r="A402" s="9" t="s">
        <v>26</v>
      </c>
      <c r="B402" s="10" t="s">
        <v>651</v>
      </c>
      <c r="C402" s="10" t="s">
        <v>682</v>
      </c>
      <c r="D402" s="9" t="s">
        <v>684</v>
      </c>
      <c r="E402" s="10" t="s">
        <v>47</v>
      </c>
      <c r="F402" s="10" t="s">
        <v>523</v>
      </c>
      <c r="G402" s="9" t="n">
        <v>221.9</v>
      </c>
      <c r="H402" s="10" t="s">
        <v>654</v>
      </c>
      <c r="I402" s="9"/>
    </row>
    <row r="403" customFormat="false" ht="15" hidden="false" customHeight="false" outlineLevel="0" collapsed="false">
      <c r="A403" s="9" t="s">
        <v>26</v>
      </c>
      <c r="B403" s="10" t="s">
        <v>104</v>
      </c>
      <c r="C403" s="10" t="s">
        <v>306</v>
      </c>
      <c r="D403" s="10" t="s">
        <v>685</v>
      </c>
      <c r="E403" s="10" t="s">
        <v>47</v>
      </c>
      <c r="F403" s="10" t="s">
        <v>48</v>
      </c>
      <c r="G403" s="9" t="n">
        <v>5740.9</v>
      </c>
      <c r="H403" s="10" t="s">
        <v>686</v>
      </c>
      <c r="I403" s="9"/>
    </row>
    <row r="404" customFormat="false" ht="15" hidden="false" customHeight="false" outlineLevel="0" collapsed="false">
      <c r="A404" s="9" t="s">
        <v>26</v>
      </c>
      <c r="B404" s="10" t="s">
        <v>104</v>
      </c>
      <c r="C404" s="10" t="s">
        <v>306</v>
      </c>
      <c r="D404" s="10" t="s">
        <v>687</v>
      </c>
      <c r="E404" s="10" t="s">
        <v>47</v>
      </c>
      <c r="F404" s="10" t="s">
        <v>48</v>
      </c>
      <c r="G404" s="9" t="n">
        <v>4194.6</v>
      </c>
      <c r="H404" s="10" t="s">
        <v>416</v>
      </c>
      <c r="I404" s="9"/>
    </row>
    <row r="405" customFormat="false" ht="15" hidden="false" customHeight="false" outlineLevel="0" collapsed="false">
      <c r="A405" s="9" t="s">
        <v>26</v>
      </c>
      <c r="B405" s="10" t="s">
        <v>104</v>
      </c>
      <c r="C405" s="10" t="s">
        <v>306</v>
      </c>
      <c r="D405" s="10" t="s">
        <v>688</v>
      </c>
      <c r="E405" s="10" t="s">
        <v>47</v>
      </c>
      <c r="F405" s="10" t="s">
        <v>48</v>
      </c>
      <c r="G405" s="9" t="n">
        <v>3715.8</v>
      </c>
      <c r="H405" s="10" t="s">
        <v>350</v>
      </c>
      <c r="I405" s="9"/>
    </row>
    <row r="406" customFormat="false" ht="15" hidden="false" customHeight="false" outlineLevel="0" collapsed="false">
      <c r="A406" s="9" t="s">
        <v>26</v>
      </c>
      <c r="B406" s="10" t="s">
        <v>104</v>
      </c>
      <c r="C406" s="10" t="s">
        <v>306</v>
      </c>
      <c r="D406" s="10" t="s">
        <v>689</v>
      </c>
      <c r="E406" s="10" t="s">
        <v>47</v>
      </c>
      <c r="F406" s="10" t="s">
        <v>48</v>
      </c>
      <c r="G406" s="9" t="n">
        <v>4510</v>
      </c>
      <c r="H406" s="10" t="s">
        <v>350</v>
      </c>
      <c r="I406" s="9"/>
    </row>
    <row r="407" customFormat="false" ht="15" hidden="false" customHeight="false" outlineLevel="0" collapsed="false">
      <c r="A407" s="9" t="s">
        <v>26</v>
      </c>
      <c r="B407" s="10" t="s">
        <v>104</v>
      </c>
      <c r="C407" s="10" t="s">
        <v>306</v>
      </c>
      <c r="D407" s="10" t="s">
        <v>690</v>
      </c>
      <c r="E407" s="10" t="s">
        <v>47</v>
      </c>
      <c r="F407" s="10" t="s">
        <v>48</v>
      </c>
      <c r="G407" s="9" t="n">
        <v>3721.2</v>
      </c>
      <c r="H407" s="10" t="s">
        <v>350</v>
      </c>
      <c r="I407" s="9"/>
    </row>
    <row r="408" customFormat="false" ht="15" hidden="false" customHeight="false" outlineLevel="0" collapsed="false">
      <c r="A408" s="9" t="s">
        <v>27</v>
      </c>
      <c r="B408" s="10" t="s">
        <v>69</v>
      </c>
      <c r="C408" s="10" t="s">
        <v>647</v>
      </c>
      <c r="D408" s="10" t="s">
        <v>691</v>
      </c>
      <c r="E408" s="10" t="s">
        <v>47</v>
      </c>
      <c r="F408" s="10" t="s">
        <v>48</v>
      </c>
      <c r="G408" s="9" t="n">
        <v>166.7</v>
      </c>
      <c r="H408" s="10" t="s">
        <v>692</v>
      </c>
      <c r="I408" s="9"/>
    </row>
    <row r="409" customFormat="false" ht="15" hidden="false" customHeight="false" outlineLevel="0" collapsed="false">
      <c r="A409" s="9" t="s">
        <v>27</v>
      </c>
      <c r="B409" s="10" t="s">
        <v>69</v>
      </c>
      <c r="C409" s="10" t="s">
        <v>647</v>
      </c>
      <c r="D409" s="10" t="s">
        <v>693</v>
      </c>
      <c r="E409" s="10" t="s">
        <v>47</v>
      </c>
      <c r="F409" s="10" t="s">
        <v>48</v>
      </c>
      <c r="G409" s="9" t="n">
        <v>123.3</v>
      </c>
      <c r="H409" s="10" t="s">
        <v>694</v>
      </c>
      <c r="I409" s="9"/>
    </row>
    <row r="410" customFormat="false" ht="15" hidden="false" customHeight="false" outlineLevel="0" collapsed="false">
      <c r="A410" s="9" t="s">
        <v>27</v>
      </c>
      <c r="B410" s="10" t="s">
        <v>69</v>
      </c>
      <c r="C410" s="10" t="s">
        <v>647</v>
      </c>
      <c r="D410" s="10" t="s">
        <v>695</v>
      </c>
      <c r="E410" s="10" t="s">
        <v>47</v>
      </c>
      <c r="F410" s="10" t="s">
        <v>48</v>
      </c>
      <c r="G410" s="9" t="n">
        <v>112.9</v>
      </c>
      <c r="H410" s="10" t="s">
        <v>694</v>
      </c>
      <c r="I410" s="9"/>
    </row>
    <row r="411" customFormat="false" ht="15" hidden="false" customHeight="false" outlineLevel="0" collapsed="false">
      <c r="A411" s="9" t="s">
        <v>27</v>
      </c>
      <c r="B411" s="10" t="s">
        <v>69</v>
      </c>
      <c r="C411" s="10" t="s">
        <v>647</v>
      </c>
      <c r="D411" s="10" t="s">
        <v>696</v>
      </c>
      <c r="E411" s="10" t="s">
        <v>47</v>
      </c>
      <c r="F411" s="10" t="s">
        <v>48</v>
      </c>
      <c r="G411" s="9" t="n">
        <v>119.9</v>
      </c>
      <c r="H411" s="10" t="s">
        <v>697</v>
      </c>
      <c r="I411" s="9"/>
    </row>
    <row r="412" customFormat="false" ht="15" hidden="false" customHeight="false" outlineLevel="0" collapsed="false">
      <c r="A412" s="9" t="s">
        <v>27</v>
      </c>
      <c r="B412" s="10" t="s">
        <v>69</v>
      </c>
      <c r="C412" s="10" t="s">
        <v>647</v>
      </c>
      <c r="D412" s="10" t="s">
        <v>698</v>
      </c>
      <c r="E412" s="10" t="s">
        <v>47</v>
      </c>
      <c r="F412" s="10" t="s">
        <v>48</v>
      </c>
      <c r="G412" s="9" t="n">
        <v>117.8</v>
      </c>
      <c r="H412" s="10" t="s">
        <v>699</v>
      </c>
      <c r="I412" s="9"/>
    </row>
    <row r="413" customFormat="false" ht="15" hidden="false" customHeight="false" outlineLevel="0" collapsed="false">
      <c r="A413" s="9" t="s">
        <v>27</v>
      </c>
      <c r="B413" s="10" t="s">
        <v>69</v>
      </c>
      <c r="C413" s="10" t="s">
        <v>647</v>
      </c>
      <c r="D413" s="9" t="s">
        <v>700</v>
      </c>
      <c r="E413" s="10" t="s">
        <v>47</v>
      </c>
      <c r="F413" s="10" t="s">
        <v>58</v>
      </c>
      <c r="G413" s="9" t="n">
        <v>57.2</v>
      </c>
      <c r="H413" s="10" t="s">
        <v>701</v>
      </c>
      <c r="I413" s="9"/>
    </row>
    <row r="414" customFormat="false" ht="15" hidden="false" customHeight="false" outlineLevel="0" collapsed="false">
      <c r="A414" s="9" t="s">
        <v>27</v>
      </c>
      <c r="B414" s="10" t="s">
        <v>69</v>
      </c>
      <c r="C414" s="10" t="s">
        <v>647</v>
      </c>
      <c r="D414" s="9" t="s">
        <v>702</v>
      </c>
      <c r="E414" s="10" t="s">
        <v>47</v>
      </c>
      <c r="F414" s="10" t="s">
        <v>48</v>
      </c>
      <c r="G414" s="9" t="n">
        <v>605.8</v>
      </c>
      <c r="H414" s="10" t="s">
        <v>703</v>
      </c>
      <c r="I414" s="9"/>
    </row>
  </sheetData>
  <autoFilter ref="A1:I4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50"/>
    <col collapsed="false" customWidth="true" hidden="false" outlineLevel="0" max="4" min="4" style="0" width="38"/>
    <col collapsed="false" customWidth="true" hidden="false" outlineLevel="0" max="5" min="5" style="0" width="8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28"/>
  </cols>
  <sheetData>
    <row r="1" customFormat="false" ht="15" hidden="false" customHeight="false" outlineLevel="0" collapsed="false">
      <c r="A1" s="11" t="s">
        <v>14</v>
      </c>
      <c r="B1" s="11" t="s">
        <v>36</v>
      </c>
      <c r="C1" s="11" t="s">
        <v>37</v>
      </c>
      <c r="D1" s="11" t="s">
        <v>38</v>
      </c>
      <c r="E1" s="11" t="s">
        <v>39</v>
      </c>
      <c r="F1" s="11" t="s">
        <v>704</v>
      </c>
      <c r="G1" s="11" t="s">
        <v>41</v>
      </c>
      <c r="H1" s="11" t="s">
        <v>42</v>
      </c>
      <c r="I1" s="11" t="s">
        <v>43</v>
      </c>
    </row>
    <row r="2" customFormat="false" ht="15" hidden="false" customHeight="false" outlineLevel="0" collapsed="false">
      <c r="A2" s="9" t="s">
        <v>17</v>
      </c>
      <c r="B2" s="10" t="s">
        <v>651</v>
      </c>
      <c r="C2" s="10" t="s">
        <v>705</v>
      </c>
      <c r="D2" s="10" t="s">
        <v>706</v>
      </c>
      <c r="E2" s="10" t="s">
        <v>707</v>
      </c>
      <c r="F2" s="10" t="s">
        <v>708</v>
      </c>
      <c r="G2" s="9" t="n">
        <v>5710</v>
      </c>
      <c r="H2" s="10" t="s">
        <v>709</v>
      </c>
      <c r="I2" s="10" t="s">
        <v>710</v>
      </c>
    </row>
    <row r="3" customFormat="false" ht="15" hidden="false" customHeight="false" outlineLevel="0" collapsed="false">
      <c r="A3" s="9" t="s">
        <v>17</v>
      </c>
      <c r="B3" s="10" t="s">
        <v>44</v>
      </c>
      <c r="C3" s="10" t="s">
        <v>45</v>
      </c>
      <c r="D3" s="10" t="s">
        <v>711</v>
      </c>
      <c r="E3" s="10" t="s">
        <v>707</v>
      </c>
      <c r="F3" s="10" t="s">
        <v>708</v>
      </c>
      <c r="G3" s="9" t="n">
        <v>23.7</v>
      </c>
      <c r="H3" s="10" t="s">
        <v>49</v>
      </c>
      <c r="I3" s="9" t="s">
        <v>712</v>
      </c>
    </row>
    <row r="4" customFormat="false" ht="15" hidden="false" customHeight="false" outlineLevel="0" collapsed="false">
      <c r="A4" s="9" t="s">
        <v>17</v>
      </c>
      <c r="B4" s="10" t="s">
        <v>44</v>
      </c>
      <c r="C4" s="10" t="s">
        <v>50</v>
      </c>
      <c r="D4" s="10" t="s">
        <v>713</v>
      </c>
      <c r="E4" s="10" t="s">
        <v>707</v>
      </c>
      <c r="F4" s="10" t="s">
        <v>708</v>
      </c>
      <c r="G4" s="9" t="n">
        <v>423.7</v>
      </c>
      <c r="H4" s="10" t="s">
        <v>714</v>
      </c>
      <c r="I4" s="10" t="s">
        <v>710</v>
      </c>
    </row>
    <row r="5" customFormat="false" ht="15" hidden="false" customHeight="false" outlineLevel="0" collapsed="false">
      <c r="A5" s="9" t="s">
        <v>17</v>
      </c>
      <c r="B5" s="10" t="s">
        <v>44</v>
      </c>
      <c r="C5" s="10" t="s">
        <v>50</v>
      </c>
      <c r="D5" s="10" t="s">
        <v>715</v>
      </c>
      <c r="E5" s="10" t="s">
        <v>707</v>
      </c>
      <c r="F5" s="10" t="s">
        <v>708</v>
      </c>
      <c r="G5" s="9" t="n">
        <v>150.6</v>
      </c>
      <c r="H5" s="10" t="s">
        <v>52</v>
      </c>
      <c r="I5" s="9" t="s">
        <v>712</v>
      </c>
    </row>
    <row r="6" customFormat="false" ht="15" hidden="false" customHeight="false" outlineLevel="0" collapsed="false">
      <c r="A6" s="9" t="s">
        <v>17</v>
      </c>
      <c r="B6" s="10" t="s">
        <v>44</v>
      </c>
      <c r="C6" s="10" t="s">
        <v>50</v>
      </c>
      <c r="D6" s="10" t="s">
        <v>716</v>
      </c>
      <c r="E6" s="10" t="s">
        <v>707</v>
      </c>
      <c r="F6" s="10" t="s">
        <v>708</v>
      </c>
      <c r="G6" s="9" t="n">
        <v>449.4</v>
      </c>
      <c r="H6" s="10" t="s">
        <v>717</v>
      </c>
      <c r="I6" s="9" t="s">
        <v>712</v>
      </c>
    </row>
    <row r="7" customFormat="false" ht="15" hidden="false" customHeight="false" outlineLevel="0" collapsed="false">
      <c r="A7" s="9" t="s">
        <v>17</v>
      </c>
      <c r="B7" s="10" t="s">
        <v>44</v>
      </c>
      <c r="C7" s="10" t="s">
        <v>50</v>
      </c>
      <c r="D7" s="10" t="s">
        <v>718</v>
      </c>
      <c r="E7" s="10" t="s">
        <v>707</v>
      </c>
      <c r="F7" s="10" t="s">
        <v>708</v>
      </c>
      <c r="G7" s="9" t="n">
        <v>1282.8</v>
      </c>
      <c r="H7" s="10" t="s">
        <v>719</v>
      </c>
      <c r="I7" s="10" t="s">
        <v>710</v>
      </c>
    </row>
    <row r="8" customFormat="false" ht="15" hidden="false" customHeight="false" outlineLevel="0" collapsed="false">
      <c r="A8" s="9" t="s">
        <v>17</v>
      </c>
      <c r="B8" s="10" t="s">
        <v>44</v>
      </c>
      <c r="C8" s="10" t="s">
        <v>50</v>
      </c>
      <c r="D8" s="10" t="s">
        <v>720</v>
      </c>
      <c r="E8" s="10" t="s">
        <v>707</v>
      </c>
      <c r="F8" s="10" t="s">
        <v>708</v>
      </c>
      <c r="G8" s="9" t="n">
        <v>1299.2</v>
      </c>
      <c r="H8" s="10" t="s">
        <v>64</v>
      </c>
      <c r="I8" s="9" t="s">
        <v>712</v>
      </c>
    </row>
    <row r="9" customFormat="false" ht="15" hidden="false" customHeight="false" outlineLevel="0" collapsed="false">
      <c r="A9" s="9" t="s">
        <v>17</v>
      </c>
      <c r="B9" s="10" t="s">
        <v>44</v>
      </c>
      <c r="C9" s="10" t="s">
        <v>50</v>
      </c>
      <c r="D9" s="10" t="s">
        <v>721</v>
      </c>
      <c r="E9" s="10" t="s">
        <v>707</v>
      </c>
      <c r="F9" s="10" t="s">
        <v>708</v>
      </c>
      <c r="G9" s="9" t="n">
        <v>38.5</v>
      </c>
      <c r="H9" s="10" t="s">
        <v>719</v>
      </c>
      <c r="I9" s="10" t="s">
        <v>710</v>
      </c>
    </row>
    <row r="10" customFormat="false" ht="15" hidden="false" customHeight="false" outlineLevel="0" collapsed="false">
      <c r="A10" s="9" t="s">
        <v>17</v>
      </c>
      <c r="B10" s="10" t="s">
        <v>44</v>
      </c>
      <c r="C10" s="10" t="s">
        <v>50</v>
      </c>
      <c r="D10" s="10" t="s">
        <v>722</v>
      </c>
      <c r="E10" s="10" t="s">
        <v>707</v>
      </c>
      <c r="F10" s="10" t="s">
        <v>708</v>
      </c>
      <c r="G10" s="9" t="n">
        <v>143.3</v>
      </c>
      <c r="H10" s="10" t="s">
        <v>61</v>
      </c>
      <c r="I10" s="9" t="s">
        <v>712</v>
      </c>
    </row>
    <row r="11" customFormat="false" ht="15" hidden="false" customHeight="false" outlineLevel="0" collapsed="false">
      <c r="A11" s="9" t="s">
        <v>18</v>
      </c>
      <c r="B11" s="10" t="s">
        <v>65</v>
      </c>
      <c r="C11" s="10" t="s">
        <v>66</v>
      </c>
      <c r="D11" s="10" t="s">
        <v>723</v>
      </c>
      <c r="E11" s="10" t="s">
        <v>707</v>
      </c>
      <c r="F11" s="10" t="s">
        <v>708</v>
      </c>
      <c r="G11" s="9" t="n">
        <v>28.2</v>
      </c>
      <c r="H11" s="10" t="s">
        <v>68</v>
      </c>
      <c r="I11" s="9" t="s">
        <v>712</v>
      </c>
    </row>
    <row r="12" customFormat="false" ht="15" hidden="false" customHeight="false" outlineLevel="0" collapsed="false">
      <c r="A12" s="9" t="s">
        <v>18</v>
      </c>
      <c r="B12" s="10" t="s">
        <v>69</v>
      </c>
      <c r="C12" s="10" t="s">
        <v>70</v>
      </c>
      <c r="D12" s="10" t="s">
        <v>724</v>
      </c>
      <c r="E12" s="10" t="s">
        <v>707</v>
      </c>
      <c r="F12" s="10" t="s">
        <v>708</v>
      </c>
      <c r="G12" s="9" t="n">
        <v>26.5</v>
      </c>
      <c r="H12" s="10" t="s">
        <v>74</v>
      </c>
      <c r="I12" s="9" t="s">
        <v>712</v>
      </c>
    </row>
    <row r="13" customFormat="false" ht="15" hidden="false" customHeight="false" outlineLevel="0" collapsed="false">
      <c r="A13" s="9" t="s">
        <v>18</v>
      </c>
      <c r="B13" s="10" t="s">
        <v>69</v>
      </c>
      <c r="C13" s="10" t="s">
        <v>70</v>
      </c>
      <c r="D13" s="10" t="s">
        <v>725</v>
      </c>
      <c r="E13" s="10" t="s">
        <v>707</v>
      </c>
      <c r="F13" s="10" t="s">
        <v>708</v>
      </c>
      <c r="G13" s="9" t="n">
        <v>575.1</v>
      </c>
      <c r="H13" s="10" t="s">
        <v>422</v>
      </c>
      <c r="I13" s="10" t="s">
        <v>710</v>
      </c>
    </row>
    <row r="14" customFormat="false" ht="15" hidden="false" customHeight="false" outlineLevel="0" collapsed="false">
      <c r="A14" s="9" t="s">
        <v>18</v>
      </c>
      <c r="B14" s="10" t="s">
        <v>69</v>
      </c>
      <c r="C14" s="10" t="s">
        <v>70</v>
      </c>
      <c r="D14" s="10" t="s">
        <v>726</v>
      </c>
      <c r="E14" s="10" t="s">
        <v>707</v>
      </c>
      <c r="F14" s="10" t="s">
        <v>708</v>
      </c>
      <c r="G14" s="9" t="n">
        <v>89.4</v>
      </c>
      <c r="H14" s="10" t="s">
        <v>727</v>
      </c>
      <c r="I14" s="10" t="s">
        <v>710</v>
      </c>
    </row>
    <row r="15" customFormat="false" ht="15" hidden="false" customHeight="false" outlineLevel="0" collapsed="false">
      <c r="A15" s="9" t="s">
        <v>18</v>
      </c>
      <c r="B15" s="10" t="s">
        <v>69</v>
      </c>
      <c r="C15" s="10" t="s">
        <v>70</v>
      </c>
      <c r="D15" s="9" t="s">
        <v>728</v>
      </c>
      <c r="E15" s="10" t="s">
        <v>707</v>
      </c>
      <c r="F15" s="10" t="s">
        <v>708</v>
      </c>
      <c r="G15" s="9" t="n">
        <v>785.4</v>
      </c>
      <c r="H15" s="10" t="s">
        <v>729</v>
      </c>
      <c r="I15" s="9" t="s">
        <v>712</v>
      </c>
    </row>
    <row r="16" customFormat="false" ht="15" hidden="false" customHeight="false" outlineLevel="0" collapsed="false">
      <c r="A16" s="9" t="s">
        <v>18</v>
      </c>
      <c r="B16" s="10" t="s">
        <v>78</v>
      </c>
      <c r="C16" s="10" t="s">
        <v>79</v>
      </c>
      <c r="D16" s="9" t="s">
        <v>730</v>
      </c>
      <c r="E16" s="10" t="s">
        <v>707</v>
      </c>
      <c r="F16" s="10" t="s">
        <v>708</v>
      </c>
      <c r="G16" s="9" t="n">
        <v>3752.1</v>
      </c>
      <c r="H16" s="10" t="s">
        <v>83</v>
      </c>
      <c r="I16" s="9" t="s">
        <v>712</v>
      </c>
    </row>
    <row r="17" customFormat="false" ht="15" hidden="false" customHeight="false" outlineLevel="0" collapsed="false">
      <c r="A17" s="9" t="s">
        <v>18</v>
      </c>
      <c r="B17" s="10" t="s">
        <v>90</v>
      </c>
      <c r="C17" s="10" t="s">
        <v>91</v>
      </c>
      <c r="D17" s="10" t="s">
        <v>731</v>
      </c>
      <c r="E17" s="10" t="s">
        <v>707</v>
      </c>
      <c r="F17" s="10" t="s">
        <v>708</v>
      </c>
      <c r="G17" s="9" t="n">
        <v>539</v>
      </c>
      <c r="H17" s="10" t="s">
        <v>100</v>
      </c>
      <c r="I17" s="9" t="s">
        <v>712</v>
      </c>
    </row>
    <row r="18" customFormat="false" ht="15" hidden="false" customHeight="false" outlineLevel="0" collapsed="false">
      <c r="A18" s="9" t="s">
        <v>18</v>
      </c>
      <c r="B18" s="10" t="s">
        <v>90</v>
      </c>
      <c r="C18" s="10" t="s">
        <v>91</v>
      </c>
      <c r="D18" s="10" t="s">
        <v>732</v>
      </c>
      <c r="E18" s="10" t="s">
        <v>707</v>
      </c>
      <c r="F18" s="10" t="s">
        <v>708</v>
      </c>
      <c r="G18" s="9" t="n">
        <v>37.9</v>
      </c>
      <c r="H18" s="10" t="s">
        <v>64</v>
      </c>
      <c r="I18" s="10" t="s">
        <v>710</v>
      </c>
    </row>
    <row r="19" customFormat="false" ht="15" hidden="false" customHeight="false" outlineLevel="0" collapsed="false">
      <c r="A19" s="9" t="s">
        <v>18</v>
      </c>
      <c r="B19" s="10" t="s">
        <v>90</v>
      </c>
      <c r="C19" s="10" t="s">
        <v>91</v>
      </c>
      <c r="D19" s="9" t="s">
        <v>733</v>
      </c>
      <c r="E19" s="10" t="s">
        <v>707</v>
      </c>
      <c r="F19" s="10" t="s">
        <v>708</v>
      </c>
      <c r="G19" s="9" t="n">
        <v>25.1</v>
      </c>
      <c r="H19" s="10" t="s">
        <v>103</v>
      </c>
      <c r="I19" s="9" t="s">
        <v>712</v>
      </c>
    </row>
    <row r="20" customFormat="false" ht="15" hidden="false" customHeight="false" outlineLevel="0" collapsed="false">
      <c r="A20" s="9" t="s">
        <v>18</v>
      </c>
      <c r="B20" s="10" t="s">
        <v>90</v>
      </c>
      <c r="C20" s="10" t="s">
        <v>91</v>
      </c>
      <c r="D20" s="9" t="s">
        <v>734</v>
      </c>
      <c r="E20" s="10" t="s">
        <v>707</v>
      </c>
      <c r="F20" s="10" t="s">
        <v>708</v>
      </c>
      <c r="G20" s="9" t="n">
        <v>108.6</v>
      </c>
      <c r="H20" s="10" t="s">
        <v>735</v>
      </c>
      <c r="I20" s="10" t="s">
        <v>710</v>
      </c>
    </row>
    <row r="21" customFormat="false" ht="15" hidden="false" customHeight="false" outlineLevel="0" collapsed="false">
      <c r="A21" s="9" t="s">
        <v>18</v>
      </c>
      <c r="B21" s="10" t="s">
        <v>104</v>
      </c>
      <c r="C21" s="10" t="s">
        <v>105</v>
      </c>
      <c r="D21" s="10" t="s">
        <v>736</v>
      </c>
      <c r="E21" s="10" t="s">
        <v>707</v>
      </c>
      <c r="F21" s="10" t="s">
        <v>708</v>
      </c>
      <c r="G21" s="9" t="n">
        <v>47.9</v>
      </c>
      <c r="H21" s="10" t="s">
        <v>107</v>
      </c>
      <c r="I21" s="9" t="s">
        <v>712</v>
      </c>
    </row>
    <row r="22" customFormat="false" ht="15" hidden="false" customHeight="false" outlineLevel="0" collapsed="false">
      <c r="A22" s="9" t="s">
        <v>18</v>
      </c>
      <c r="B22" s="10" t="s">
        <v>104</v>
      </c>
      <c r="C22" s="10" t="s">
        <v>105</v>
      </c>
      <c r="D22" s="9" t="s">
        <v>737</v>
      </c>
      <c r="E22" s="10" t="s">
        <v>707</v>
      </c>
      <c r="F22" s="10" t="s">
        <v>708</v>
      </c>
      <c r="G22" s="9" t="n">
        <v>29.7</v>
      </c>
      <c r="H22" s="10" t="s">
        <v>109</v>
      </c>
      <c r="I22" s="9" t="s">
        <v>712</v>
      </c>
    </row>
    <row r="23" customFormat="false" ht="15" hidden="false" customHeight="false" outlineLevel="0" collapsed="false">
      <c r="A23" s="9" t="s">
        <v>18</v>
      </c>
      <c r="B23" s="10" t="s">
        <v>104</v>
      </c>
      <c r="C23" s="10" t="s">
        <v>105</v>
      </c>
      <c r="D23" s="9" t="s">
        <v>738</v>
      </c>
      <c r="E23" s="10" t="s">
        <v>707</v>
      </c>
      <c r="F23" s="10" t="s">
        <v>708</v>
      </c>
      <c r="G23" s="9" t="n">
        <v>25.5</v>
      </c>
      <c r="H23" s="10" t="s">
        <v>109</v>
      </c>
      <c r="I23" s="9" t="s">
        <v>712</v>
      </c>
    </row>
    <row r="24" customFormat="false" ht="15" hidden="false" customHeight="false" outlineLevel="0" collapsed="false">
      <c r="A24" s="9" t="s">
        <v>18</v>
      </c>
      <c r="B24" s="10" t="s">
        <v>44</v>
      </c>
      <c r="C24" s="10" t="s">
        <v>111</v>
      </c>
      <c r="D24" s="10" t="s">
        <v>739</v>
      </c>
      <c r="E24" s="10" t="s">
        <v>707</v>
      </c>
      <c r="F24" s="10" t="s">
        <v>708</v>
      </c>
      <c r="G24" s="9" t="n">
        <v>25.5</v>
      </c>
      <c r="H24" s="10" t="s">
        <v>115</v>
      </c>
      <c r="I24" s="9" t="s">
        <v>712</v>
      </c>
    </row>
    <row r="25" customFormat="false" ht="15" hidden="false" customHeight="false" outlineLevel="0" collapsed="false">
      <c r="A25" s="9" t="s">
        <v>18</v>
      </c>
      <c r="B25" s="10" t="s">
        <v>44</v>
      </c>
      <c r="C25" s="10" t="s">
        <v>111</v>
      </c>
      <c r="D25" s="10" t="s">
        <v>740</v>
      </c>
      <c r="E25" s="10" t="s">
        <v>707</v>
      </c>
      <c r="F25" s="10" t="s">
        <v>708</v>
      </c>
      <c r="G25" s="9" t="n">
        <v>57.9</v>
      </c>
      <c r="H25" s="10" t="s">
        <v>113</v>
      </c>
      <c r="I25" s="10" t="s">
        <v>710</v>
      </c>
    </row>
    <row r="26" customFormat="false" ht="15" hidden="false" customHeight="false" outlineLevel="0" collapsed="false">
      <c r="A26" s="9" t="s">
        <v>18</v>
      </c>
      <c r="B26" s="10" t="s">
        <v>44</v>
      </c>
      <c r="C26" s="10" t="s">
        <v>116</v>
      </c>
      <c r="D26" s="10" t="s">
        <v>741</v>
      </c>
      <c r="E26" s="10" t="s">
        <v>707</v>
      </c>
      <c r="F26" s="10" t="s">
        <v>708</v>
      </c>
      <c r="G26" s="9" t="n">
        <v>877.9</v>
      </c>
      <c r="H26" s="10" t="s">
        <v>742</v>
      </c>
      <c r="I26" s="9" t="s">
        <v>712</v>
      </c>
    </row>
    <row r="27" customFormat="false" ht="15" hidden="false" customHeight="false" outlineLevel="0" collapsed="false">
      <c r="A27" s="9" t="s">
        <v>18</v>
      </c>
      <c r="B27" s="10" t="s">
        <v>44</v>
      </c>
      <c r="C27" s="10" t="s">
        <v>121</v>
      </c>
      <c r="D27" s="10" t="s">
        <v>743</v>
      </c>
      <c r="E27" s="10" t="s">
        <v>707</v>
      </c>
      <c r="F27" s="10" t="s">
        <v>708</v>
      </c>
      <c r="G27" s="9" t="n">
        <v>24.3</v>
      </c>
      <c r="H27" s="10" t="s">
        <v>123</v>
      </c>
      <c r="I27" s="9" t="s">
        <v>712</v>
      </c>
    </row>
    <row r="28" customFormat="false" ht="15" hidden="false" customHeight="false" outlineLevel="0" collapsed="false">
      <c r="A28" s="9" t="s">
        <v>18</v>
      </c>
      <c r="B28" s="10" t="s">
        <v>44</v>
      </c>
      <c r="C28" s="10" t="s">
        <v>121</v>
      </c>
      <c r="D28" s="10" t="s">
        <v>741</v>
      </c>
      <c r="E28" s="10" t="s">
        <v>707</v>
      </c>
      <c r="F28" s="10" t="s">
        <v>708</v>
      </c>
      <c r="G28" s="9" t="n">
        <v>967.2</v>
      </c>
      <c r="H28" s="10" t="s">
        <v>744</v>
      </c>
      <c r="I28" s="9" t="s">
        <v>712</v>
      </c>
    </row>
    <row r="29" customFormat="false" ht="15" hidden="false" customHeight="false" outlineLevel="0" collapsed="false">
      <c r="A29" s="9" t="s">
        <v>18</v>
      </c>
      <c r="B29" s="10" t="s">
        <v>44</v>
      </c>
      <c r="C29" s="10" t="s">
        <v>125</v>
      </c>
      <c r="D29" s="10" t="s">
        <v>739</v>
      </c>
      <c r="E29" s="10" t="s">
        <v>707</v>
      </c>
      <c r="F29" s="10" t="s">
        <v>708</v>
      </c>
      <c r="G29" s="9" t="n">
        <v>25.5</v>
      </c>
      <c r="H29" s="10" t="s">
        <v>115</v>
      </c>
      <c r="I29" s="9" t="s">
        <v>712</v>
      </c>
    </row>
    <row r="30" customFormat="false" ht="15" hidden="false" customHeight="false" outlineLevel="0" collapsed="false">
      <c r="A30" s="9" t="s">
        <v>18</v>
      </c>
      <c r="B30" s="10" t="s">
        <v>44</v>
      </c>
      <c r="C30" s="10" t="s">
        <v>125</v>
      </c>
      <c r="D30" s="10" t="s">
        <v>740</v>
      </c>
      <c r="E30" s="10" t="s">
        <v>707</v>
      </c>
      <c r="F30" s="10" t="s">
        <v>708</v>
      </c>
      <c r="G30" s="9" t="n">
        <v>57.9</v>
      </c>
      <c r="H30" s="10" t="s">
        <v>745</v>
      </c>
      <c r="I30" s="10" t="s">
        <v>710</v>
      </c>
    </row>
    <row r="31" customFormat="false" ht="15" hidden="false" customHeight="false" outlineLevel="0" collapsed="false">
      <c r="A31" s="9" t="s">
        <v>18</v>
      </c>
      <c r="B31" s="10" t="s">
        <v>126</v>
      </c>
      <c r="C31" s="10" t="s">
        <v>127</v>
      </c>
      <c r="D31" s="10" t="s">
        <v>746</v>
      </c>
      <c r="E31" s="10" t="s">
        <v>707</v>
      </c>
      <c r="F31" s="10" t="s">
        <v>708</v>
      </c>
      <c r="G31" s="9" t="n">
        <v>64.9</v>
      </c>
      <c r="H31" s="10" t="s">
        <v>131</v>
      </c>
      <c r="I31" s="9" t="s">
        <v>712</v>
      </c>
    </row>
    <row r="32" customFormat="false" ht="15" hidden="false" customHeight="false" outlineLevel="0" collapsed="false">
      <c r="A32" s="9" t="s">
        <v>18</v>
      </c>
      <c r="B32" s="10" t="s">
        <v>126</v>
      </c>
      <c r="C32" s="10" t="s">
        <v>127</v>
      </c>
      <c r="D32" s="10" t="s">
        <v>747</v>
      </c>
      <c r="E32" s="10" t="s">
        <v>707</v>
      </c>
      <c r="F32" s="10" t="s">
        <v>708</v>
      </c>
      <c r="G32" s="9" t="n">
        <v>736.7</v>
      </c>
      <c r="H32" s="10" t="s">
        <v>135</v>
      </c>
      <c r="I32" s="9" t="s">
        <v>712</v>
      </c>
    </row>
    <row r="33" customFormat="false" ht="15" hidden="false" customHeight="false" outlineLevel="0" collapsed="false">
      <c r="A33" s="9" t="s">
        <v>18</v>
      </c>
      <c r="B33" s="10" t="s">
        <v>126</v>
      </c>
      <c r="C33" s="10" t="s">
        <v>127</v>
      </c>
      <c r="D33" s="10" t="s">
        <v>748</v>
      </c>
      <c r="E33" s="10" t="s">
        <v>707</v>
      </c>
      <c r="F33" s="10" t="s">
        <v>708</v>
      </c>
      <c r="G33" s="9" t="n">
        <v>737</v>
      </c>
      <c r="H33" s="10" t="s">
        <v>135</v>
      </c>
      <c r="I33" s="9" t="s">
        <v>712</v>
      </c>
    </row>
    <row r="34" customFormat="false" ht="15" hidden="false" customHeight="false" outlineLevel="0" collapsed="false">
      <c r="A34" s="9" t="s">
        <v>18</v>
      </c>
      <c r="B34" s="10" t="s">
        <v>126</v>
      </c>
      <c r="C34" s="10" t="s">
        <v>127</v>
      </c>
      <c r="D34" s="10" t="s">
        <v>749</v>
      </c>
      <c r="E34" s="10" t="s">
        <v>707</v>
      </c>
      <c r="F34" s="10" t="s">
        <v>708</v>
      </c>
      <c r="G34" s="9" t="n">
        <v>269</v>
      </c>
      <c r="H34" s="10" t="s">
        <v>139</v>
      </c>
      <c r="I34" s="10" t="s">
        <v>710</v>
      </c>
    </row>
    <row r="35" customFormat="false" ht="15" hidden="false" customHeight="false" outlineLevel="0" collapsed="false">
      <c r="A35" s="9" t="s">
        <v>18</v>
      </c>
      <c r="B35" s="10" t="s">
        <v>126</v>
      </c>
      <c r="C35" s="10" t="s">
        <v>127</v>
      </c>
      <c r="D35" s="10" t="s">
        <v>750</v>
      </c>
      <c r="E35" s="10" t="s">
        <v>707</v>
      </c>
      <c r="F35" s="10" t="s">
        <v>708</v>
      </c>
      <c r="G35" s="9" t="n">
        <v>346.5</v>
      </c>
      <c r="H35" s="10" t="s">
        <v>137</v>
      </c>
      <c r="I35" s="9" t="s">
        <v>712</v>
      </c>
    </row>
    <row r="36" customFormat="false" ht="15" hidden="false" customHeight="false" outlineLevel="0" collapsed="false">
      <c r="A36" s="9" t="s">
        <v>18</v>
      </c>
      <c r="B36" s="10" t="s">
        <v>140</v>
      </c>
      <c r="C36" s="10" t="s">
        <v>141</v>
      </c>
      <c r="D36" s="10" t="s">
        <v>746</v>
      </c>
      <c r="E36" s="10" t="s">
        <v>707</v>
      </c>
      <c r="F36" s="10" t="s">
        <v>708</v>
      </c>
      <c r="G36" s="9" t="n">
        <v>64.9</v>
      </c>
      <c r="H36" s="10" t="s">
        <v>131</v>
      </c>
      <c r="I36" s="9" t="s">
        <v>712</v>
      </c>
    </row>
    <row r="37" customFormat="false" ht="15" hidden="false" customHeight="false" outlineLevel="0" collapsed="false">
      <c r="A37" s="9" t="s">
        <v>18</v>
      </c>
      <c r="B37" s="10" t="s">
        <v>140</v>
      </c>
      <c r="C37" s="10" t="s">
        <v>141</v>
      </c>
      <c r="D37" s="10" t="s">
        <v>747</v>
      </c>
      <c r="E37" s="10" t="s">
        <v>707</v>
      </c>
      <c r="F37" s="10" t="s">
        <v>708</v>
      </c>
      <c r="G37" s="9" t="n">
        <v>736.7</v>
      </c>
      <c r="H37" s="10" t="s">
        <v>135</v>
      </c>
      <c r="I37" s="9" t="s">
        <v>712</v>
      </c>
    </row>
    <row r="38" customFormat="false" ht="15" hidden="false" customHeight="false" outlineLevel="0" collapsed="false">
      <c r="A38" s="9" t="s">
        <v>18</v>
      </c>
      <c r="B38" s="10" t="s">
        <v>140</v>
      </c>
      <c r="C38" s="10" t="s">
        <v>141</v>
      </c>
      <c r="D38" s="10" t="s">
        <v>748</v>
      </c>
      <c r="E38" s="10" t="s">
        <v>707</v>
      </c>
      <c r="F38" s="10" t="s">
        <v>708</v>
      </c>
      <c r="G38" s="9" t="n">
        <v>737</v>
      </c>
      <c r="H38" s="10" t="s">
        <v>135</v>
      </c>
      <c r="I38" s="9" t="s">
        <v>712</v>
      </c>
    </row>
    <row r="39" customFormat="false" ht="15" hidden="false" customHeight="false" outlineLevel="0" collapsed="false">
      <c r="A39" s="9" t="s">
        <v>18</v>
      </c>
      <c r="B39" s="10" t="s">
        <v>140</v>
      </c>
      <c r="C39" s="10" t="s">
        <v>141</v>
      </c>
      <c r="D39" s="10" t="s">
        <v>751</v>
      </c>
      <c r="E39" s="10" t="s">
        <v>707</v>
      </c>
      <c r="F39" s="10" t="s">
        <v>708</v>
      </c>
      <c r="G39" s="9" t="n">
        <v>2588.6</v>
      </c>
      <c r="H39" s="10" t="s">
        <v>145</v>
      </c>
      <c r="I39" s="9" t="s">
        <v>712</v>
      </c>
    </row>
    <row r="40" customFormat="false" ht="15" hidden="false" customHeight="false" outlineLevel="0" collapsed="false">
      <c r="A40" s="9" t="s">
        <v>18</v>
      </c>
      <c r="B40" s="10" t="s">
        <v>140</v>
      </c>
      <c r="C40" s="10" t="s">
        <v>141</v>
      </c>
      <c r="D40" s="10" t="s">
        <v>752</v>
      </c>
      <c r="E40" s="10" t="s">
        <v>707</v>
      </c>
      <c r="F40" s="10" t="s">
        <v>708</v>
      </c>
      <c r="G40" s="9" t="n">
        <v>1662.8</v>
      </c>
      <c r="H40" s="10" t="s">
        <v>147</v>
      </c>
      <c r="I40" s="9" t="s">
        <v>712</v>
      </c>
    </row>
    <row r="41" customFormat="false" ht="15" hidden="false" customHeight="false" outlineLevel="0" collapsed="false">
      <c r="A41" s="9" t="s">
        <v>18</v>
      </c>
      <c r="B41" s="10" t="s">
        <v>140</v>
      </c>
      <c r="C41" s="10" t="s">
        <v>141</v>
      </c>
      <c r="D41" s="10" t="s">
        <v>753</v>
      </c>
      <c r="E41" s="10" t="s">
        <v>707</v>
      </c>
      <c r="F41" s="10" t="s">
        <v>708</v>
      </c>
      <c r="G41" s="9" t="n">
        <v>1662.8</v>
      </c>
      <c r="H41" s="10" t="s">
        <v>147</v>
      </c>
      <c r="I41" s="9" t="s">
        <v>712</v>
      </c>
    </row>
    <row r="42" customFormat="false" ht="15" hidden="false" customHeight="false" outlineLevel="0" collapsed="false">
      <c r="A42" s="9" t="s">
        <v>18</v>
      </c>
      <c r="B42" s="10" t="s">
        <v>140</v>
      </c>
      <c r="C42" s="10" t="s">
        <v>141</v>
      </c>
      <c r="D42" s="10" t="s">
        <v>754</v>
      </c>
      <c r="E42" s="10" t="s">
        <v>707</v>
      </c>
      <c r="F42" s="10" t="s">
        <v>708</v>
      </c>
      <c r="G42" s="9" t="n">
        <v>1575.9</v>
      </c>
      <c r="H42" s="10" t="s">
        <v>149</v>
      </c>
      <c r="I42" s="9" t="s">
        <v>712</v>
      </c>
    </row>
    <row r="43" customFormat="false" ht="15" hidden="false" customHeight="false" outlineLevel="0" collapsed="false">
      <c r="A43" s="9" t="s">
        <v>18</v>
      </c>
      <c r="B43" s="10" t="s">
        <v>140</v>
      </c>
      <c r="C43" s="10" t="s">
        <v>141</v>
      </c>
      <c r="D43" s="10" t="s">
        <v>755</v>
      </c>
      <c r="E43" s="10" t="s">
        <v>707</v>
      </c>
      <c r="F43" s="10" t="s">
        <v>708</v>
      </c>
      <c r="G43" s="9" t="n">
        <v>1576.4</v>
      </c>
      <c r="H43" s="10" t="s">
        <v>756</v>
      </c>
      <c r="I43" s="10" t="s">
        <v>710</v>
      </c>
    </row>
    <row r="44" customFormat="false" ht="15" hidden="false" customHeight="false" outlineLevel="0" collapsed="false">
      <c r="A44" s="9" t="s">
        <v>18</v>
      </c>
      <c r="B44" s="10" t="s">
        <v>140</v>
      </c>
      <c r="C44" s="10" t="s">
        <v>141</v>
      </c>
      <c r="D44" s="10" t="s">
        <v>757</v>
      </c>
      <c r="E44" s="10" t="s">
        <v>707</v>
      </c>
      <c r="F44" s="10" t="s">
        <v>708</v>
      </c>
      <c r="G44" s="9" t="n">
        <v>1187.5</v>
      </c>
      <c r="H44" s="10" t="s">
        <v>151</v>
      </c>
      <c r="I44" s="9" t="s">
        <v>712</v>
      </c>
    </row>
    <row r="45" customFormat="false" ht="15" hidden="false" customHeight="false" outlineLevel="0" collapsed="false">
      <c r="A45" s="9" t="s">
        <v>18</v>
      </c>
      <c r="B45" s="10" t="s">
        <v>140</v>
      </c>
      <c r="C45" s="10" t="s">
        <v>141</v>
      </c>
      <c r="D45" s="10" t="s">
        <v>749</v>
      </c>
      <c r="E45" s="10" t="s">
        <v>707</v>
      </c>
      <c r="F45" s="10" t="s">
        <v>708</v>
      </c>
      <c r="G45" s="9" t="n">
        <v>269</v>
      </c>
      <c r="H45" s="10" t="s">
        <v>139</v>
      </c>
      <c r="I45" s="10" t="s">
        <v>710</v>
      </c>
    </row>
    <row r="46" customFormat="false" ht="15" hidden="false" customHeight="false" outlineLevel="0" collapsed="false">
      <c r="A46" s="9" t="s">
        <v>18</v>
      </c>
      <c r="B46" s="10" t="s">
        <v>140</v>
      </c>
      <c r="C46" s="10" t="s">
        <v>141</v>
      </c>
      <c r="D46" s="10" t="s">
        <v>750</v>
      </c>
      <c r="E46" s="10" t="s">
        <v>707</v>
      </c>
      <c r="F46" s="10" t="s">
        <v>708</v>
      </c>
      <c r="G46" s="9" t="n">
        <v>346.5</v>
      </c>
      <c r="H46" s="10" t="s">
        <v>137</v>
      </c>
      <c r="I46" s="9" t="s">
        <v>712</v>
      </c>
    </row>
    <row r="47" customFormat="false" ht="15" hidden="false" customHeight="false" outlineLevel="0" collapsed="false">
      <c r="A47" s="9" t="s">
        <v>19</v>
      </c>
      <c r="B47" s="10" t="s">
        <v>155</v>
      </c>
      <c r="C47" s="10" t="s">
        <v>156</v>
      </c>
      <c r="D47" s="10" t="s">
        <v>758</v>
      </c>
      <c r="E47" s="10" t="s">
        <v>707</v>
      </c>
      <c r="F47" s="10" t="s">
        <v>708</v>
      </c>
      <c r="G47" s="9" t="n">
        <v>332.6</v>
      </c>
      <c r="H47" s="10" t="s">
        <v>160</v>
      </c>
      <c r="I47" s="9" t="s">
        <v>712</v>
      </c>
    </row>
    <row r="48" customFormat="false" ht="15" hidden="false" customHeight="false" outlineLevel="0" collapsed="false">
      <c r="A48" s="9" t="s">
        <v>19</v>
      </c>
      <c r="B48" s="10" t="s">
        <v>155</v>
      </c>
      <c r="C48" s="10" t="s">
        <v>156</v>
      </c>
      <c r="D48" s="10" t="s">
        <v>759</v>
      </c>
      <c r="E48" s="10" t="s">
        <v>707</v>
      </c>
      <c r="F48" s="10" t="s">
        <v>708</v>
      </c>
      <c r="G48" s="9" t="n">
        <v>660.9</v>
      </c>
      <c r="H48" s="10" t="s">
        <v>175</v>
      </c>
      <c r="I48" s="10" t="s">
        <v>710</v>
      </c>
    </row>
    <row r="49" customFormat="false" ht="15" hidden="false" customHeight="false" outlineLevel="0" collapsed="false">
      <c r="A49" s="9" t="s">
        <v>19</v>
      </c>
      <c r="B49" s="10" t="s">
        <v>155</v>
      </c>
      <c r="C49" s="10" t="s">
        <v>156</v>
      </c>
      <c r="D49" s="10" t="s">
        <v>760</v>
      </c>
      <c r="E49" s="10" t="s">
        <v>707</v>
      </c>
      <c r="F49" s="10" t="s">
        <v>708</v>
      </c>
      <c r="G49" s="9" t="n">
        <v>567.1</v>
      </c>
      <c r="H49" s="10" t="s">
        <v>761</v>
      </c>
      <c r="I49" s="9" t="s">
        <v>712</v>
      </c>
    </row>
    <row r="50" customFormat="false" ht="15" hidden="false" customHeight="false" outlineLevel="0" collapsed="false">
      <c r="A50" s="9" t="s">
        <v>19</v>
      </c>
      <c r="B50" s="10" t="s">
        <v>155</v>
      </c>
      <c r="C50" s="10" t="s">
        <v>156</v>
      </c>
      <c r="D50" s="10" t="s">
        <v>762</v>
      </c>
      <c r="E50" s="10" t="s">
        <v>707</v>
      </c>
      <c r="F50" s="10" t="s">
        <v>708</v>
      </c>
      <c r="G50" s="9" t="n">
        <v>577.2</v>
      </c>
      <c r="H50" s="10" t="s">
        <v>165</v>
      </c>
      <c r="I50" s="9" t="s">
        <v>712</v>
      </c>
    </row>
    <row r="51" customFormat="false" ht="15" hidden="false" customHeight="false" outlineLevel="0" collapsed="false">
      <c r="A51" s="9" t="s">
        <v>19</v>
      </c>
      <c r="B51" s="10" t="s">
        <v>155</v>
      </c>
      <c r="C51" s="10" t="s">
        <v>156</v>
      </c>
      <c r="D51" s="10" t="s">
        <v>763</v>
      </c>
      <c r="E51" s="10" t="s">
        <v>707</v>
      </c>
      <c r="F51" s="10" t="s">
        <v>708</v>
      </c>
      <c r="G51" s="9" t="n">
        <v>567.1</v>
      </c>
      <c r="H51" s="10" t="s">
        <v>165</v>
      </c>
      <c r="I51" s="10" t="s">
        <v>710</v>
      </c>
    </row>
    <row r="52" customFormat="false" ht="15" hidden="false" customHeight="false" outlineLevel="0" collapsed="false">
      <c r="A52" s="9" t="s">
        <v>19</v>
      </c>
      <c r="B52" s="10" t="s">
        <v>155</v>
      </c>
      <c r="C52" s="10" t="s">
        <v>156</v>
      </c>
      <c r="D52" s="10" t="s">
        <v>764</v>
      </c>
      <c r="E52" s="10" t="s">
        <v>707</v>
      </c>
      <c r="F52" s="10" t="s">
        <v>708</v>
      </c>
      <c r="G52" s="9" t="n">
        <v>154.7</v>
      </c>
      <c r="H52" s="10" t="s">
        <v>162</v>
      </c>
      <c r="I52" s="9" t="s">
        <v>712</v>
      </c>
    </row>
    <row r="53" customFormat="false" ht="15" hidden="false" customHeight="false" outlineLevel="0" collapsed="false">
      <c r="A53" s="9" t="s">
        <v>19</v>
      </c>
      <c r="B53" s="10" t="s">
        <v>155</v>
      </c>
      <c r="C53" s="10" t="s">
        <v>156</v>
      </c>
      <c r="D53" s="10" t="s">
        <v>765</v>
      </c>
      <c r="E53" s="10" t="s">
        <v>707</v>
      </c>
      <c r="F53" s="10" t="s">
        <v>708</v>
      </c>
      <c r="G53" s="9" t="n">
        <v>53.5</v>
      </c>
      <c r="H53" s="10" t="s">
        <v>165</v>
      </c>
      <c r="I53" s="9" t="s">
        <v>712</v>
      </c>
    </row>
    <row r="54" customFormat="false" ht="15" hidden="false" customHeight="false" outlineLevel="0" collapsed="false">
      <c r="A54" s="9" t="s">
        <v>19</v>
      </c>
      <c r="B54" s="10" t="s">
        <v>155</v>
      </c>
      <c r="C54" s="10" t="s">
        <v>156</v>
      </c>
      <c r="D54" s="10" t="s">
        <v>766</v>
      </c>
      <c r="E54" s="10" t="s">
        <v>707</v>
      </c>
      <c r="F54" s="10" t="s">
        <v>708</v>
      </c>
      <c r="G54" s="9" t="n">
        <v>120.7</v>
      </c>
      <c r="H54" s="10" t="s">
        <v>162</v>
      </c>
      <c r="I54" s="9" t="s">
        <v>712</v>
      </c>
    </row>
    <row r="55" customFormat="false" ht="15" hidden="false" customHeight="false" outlineLevel="0" collapsed="false">
      <c r="A55" s="9" t="s">
        <v>19</v>
      </c>
      <c r="B55" s="10" t="s">
        <v>155</v>
      </c>
      <c r="C55" s="10" t="s">
        <v>156</v>
      </c>
      <c r="D55" s="10" t="s">
        <v>767</v>
      </c>
      <c r="E55" s="10" t="s">
        <v>707</v>
      </c>
      <c r="F55" s="10" t="s">
        <v>708</v>
      </c>
      <c r="G55" s="9" t="n">
        <v>521.5</v>
      </c>
      <c r="H55" s="10" t="s">
        <v>364</v>
      </c>
      <c r="I55" s="9" t="s">
        <v>712</v>
      </c>
    </row>
    <row r="56" customFormat="false" ht="15" hidden="false" customHeight="false" outlineLevel="0" collapsed="false">
      <c r="A56" s="9" t="s">
        <v>19</v>
      </c>
      <c r="B56" s="10" t="s">
        <v>176</v>
      </c>
      <c r="C56" s="10" t="s">
        <v>177</v>
      </c>
      <c r="D56" s="10" t="s">
        <v>768</v>
      </c>
      <c r="E56" s="10" t="s">
        <v>707</v>
      </c>
      <c r="F56" s="10" t="s">
        <v>708</v>
      </c>
      <c r="G56" s="9" t="n">
        <v>1648.9</v>
      </c>
      <c r="H56" s="10" t="s">
        <v>206</v>
      </c>
      <c r="I56" s="10" t="s">
        <v>710</v>
      </c>
    </row>
    <row r="57" customFormat="false" ht="15" hidden="false" customHeight="false" outlineLevel="0" collapsed="false">
      <c r="A57" s="9" t="s">
        <v>19</v>
      </c>
      <c r="B57" s="10" t="s">
        <v>176</v>
      </c>
      <c r="C57" s="10" t="s">
        <v>177</v>
      </c>
      <c r="D57" s="10" t="s">
        <v>769</v>
      </c>
      <c r="E57" s="10" t="s">
        <v>707</v>
      </c>
      <c r="F57" s="10" t="s">
        <v>708</v>
      </c>
      <c r="G57" s="9" t="n">
        <v>1307.6</v>
      </c>
      <c r="H57" s="10" t="s">
        <v>770</v>
      </c>
      <c r="I57" s="10" t="s">
        <v>710</v>
      </c>
    </row>
    <row r="58" customFormat="false" ht="15" hidden="false" customHeight="false" outlineLevel="0" collapsed="false">
      <c r="A58" s="9" t="s">
        <v>19</v>
      </c>
      <c r="B58" s="10" t="s">
        <v>176</v>
      </c>
      <c r="C58" s="10" t="s">
        <v>177</v>
      </c>
      <c r="D58" s="10" t="s">
        <v>771</v>
      </c>
      <c r="E58" s="10" t="s">
        <v>707</v>
      </c>
      <c r="F58" s="10" t="s">
        <v>708</v>
      </c>
      <c r="G58" s="9" t="n">
        <v>1360.3</v>
      </c>
      <c r="H58" s="10" t="s">
        <v>193</v>
      </c>
      <c r="I58" s="10" t="s">
        <v>710</v>
      </c>
    </row>
    <row r="59" customFormat="false" ht="15" hidden="false" customHeight="false" outlineLevel="0" collapsed="false">
      <c r="A59" s="9" t="s">
        <v>19</v>
      </c>
      <c r="B59" s="10" t="s">
        <v>176</v>
      </c>
      <c r="C59" s="10" t="s">
        <v>177</v>
      </c>
      <c r="D59" s="10" t="s">
        <v>772</v>
      </c>
      <c r="E59" s="10" t="s">
        <v>707</v>
      </c>
      <c r="F59" s="10" t="s">
        <v>708</v>
      </c>
      <c r="G59" s="9" t="n">
        <v>1601.8</v>
      </c>
      <c r="H59" s="10" t="s">
        <v>773</v>
      </c>
      <c r="I59" s="10" t="s">
        <v>710</v>
      </c>
    </row>
    <row r="60" customFormat="false" ht="15" hidden="false" customHeight="false" outlineLevel="0" collapsed="false">
      <c r="A60" s="9" t="s">
        <v>19</v>
      </c>
      <c r="B60" s="10" t="s">
        <v>176</v>
      </c>
      <c r="C60" s="10" t="s">
        <v>177</v>
      </c>
      <c r="D60" s="10" t="s">
        <v>774</v>
      </c>
      <c r="E60" s="10" t="s">
        <v>707</v>
      </c>
      <c r="F60" s="10" t="s">
        <v>708</v>
      </c>
      <c r="G60" s="9" t="n">
        <v>1599.8</v>
      </c>
      <c r="H60" s="10" t="s">
        <v>775</v>
      </c>
      <c r="I60" s="9" t="s">
        <v>712</v>
      </c>
    </row>
    <row r="61" customFormat="false" ht="15" hidden="false" customHeight="false" outlineLevel="0" collapsed="false">
      <c r="A61" s="9" t="s">
        <v>19</v>
      </c>
      <c r="B61" s="10" t="s">
        <v>176</v>
      </c>
      <c r="C61" s="10" t="s">
        <v>177</v>
      </c>
      <c r="D61" s="10" t="s">
        <v>776</v>
      </c>
      <c r="E61" s="10" t="s">
        <v>707</v>
      </c>
      <c r="F61" s="10" t="s">
        <v>708</v>
      </c>
      <c r="G61" s="9" t="n">
        <v>118.8</v>
      </c>
      <c r="H61" s="10" t="s">
        <v>189</v>
      </c>
      <c r="I61" s="9" t="s">
        <v>712</v>
      </c>
    </row>
    <row r="62" customFormat="false" ht="15" hidden="false" customHeight="false" outlineLevel="0" collapsed="false">
      <c r="A62" s="9" t="s">
        <v>19</v>
      </c>
      <c r="B62" s="10" t="s">
        <v>176</v>
      </c>
      <c r="C62" s="10" t="s">
        <v>177</v>
      </c>
      <c r="D62" s="10" t="s">
        <v>777</v>
      </c>
      <c r="E62" s="10" t="s">
        <v>707</v>
      </c>
      <c r="F62" s="10" t="s">
        <v>708</v>
      </c>
      <c r="G62" s="9" t="n">
        <v>37.8</v>
      </c>
      <c r="H62" s="10" t="s">
        <v>185</v>
      </c>
      <c r="I62" s="9" t="s">
        <v>712</v>
      </c>
    </row>
    <row r="63" customFormat="false" ht="15" hidden="false" customHeight="false" outlineLevel="0" collapsed="false">
      <c r="A63" s="9" t="s">
        <v>19</v>
      </c>
      <c r="B63" s="10" t="s">
        <v>176</v>
      </c>
      <c r="C63" s="10" t="s">
        <v>177</v>
      </c>
      <c r="D63" s="10" t="s">
        <v>778</v>
      </c>
      <c r="E63" s="10" t="s">
        <v>707</v>
      </c>
      <c r="F63" s="10" t="s">
        <v>708</v>
      </c>
      <c r="G63" s="9" t="n">
        <v>29.8</v>
      </c>
      <c r="H63" s="10" t="s">
        <v>187</v>
      </c>
      <c r="I63" s="9" t="s">
        <v>712</v>
      </c>
    </row>
    <row r="64" customFormat="false" ht="15" hidden="false" customHeight="false" outlineLevel="0" collapsed="false">
      <c r="A64" s="9" t="s">
        <v>19</v>
      </c>
      <c r="B64" s="10" t="s">
        <v>176</v>
      </c>
      <c r="C64" s="10" t="s">
        <v>177</v>
      </c>
      <c r="D64" s="10" t="s">
        <v>779</v>
      </c>
      <c r="E64" s="10" t="s">
        <v>707</v>
      </c>
      <c r="F64" s="10" t="s">
        <v>708</v>
      </c>
      <c r="G64" s="9" t="n">
        <v>41.4</v>
      </c>
      <c r="H64" s="10" t="s">
        <v>191</v>
      </c>
      <c r="I64" s="9" t="s">
        <v>712</v>
      </c>
    </row>
    <row r="65" customFormat="false" ht="15" hidden="false" customHeight="false" outlineLevel="0" collapsed="false">
      <c r="A65" s="9" t="s">
        <v>19</v>
      </c>
      <c r="B65" s="10" t="s">
        <v>176</v>
      </c>
      <c r="C65" s="10" t="s">
        <v>177</v>
      </c>
      <c r="D65" s="10" t="s">
        <v>780</v>
      </c>
      <c r="E65" s="10" t="s">
        <v>707</v>
      </c>
      <c r="F65" s="10" t="s">
        <v>708</v>
      </c>
      <c r="G65" s="9" t="n">
        <v>40.7</v>
      </c>
      <c r="H65" s="10" t="s">
        <v>193</v>
      </c>
      <c r="I65" s="9" t="s">
        <v>712</v>
      </c>
    </row>
    <row r="66" customFormat="false" ht="15" hidden="false" customHeight="false" outlineLevel="0" collapsed="false">
      <c r="A66" s="9" t="s">
        <v>19</v>
      </c>
      <c r="B66" s="10" t="s">
        <v>176</v>
      </c>
      <c r="C66" s="10" t="s">
        <v>177</v>
      </c>
      <c r="D66" s="10" t="s">
        <v>781</v>
      </c>
      <c r="E66" s="10" t="s">
        <v>707</v>
      </c>
      <c r="F66" s="10" t="s">
        <v>708</v>
      </c>
      <c r="G66" s="9" t="n">
        <v>43</v>
      </c>
      <c r="H66" s="10" t="s">
        <v>195</v>
      </c>
      <c r="I66" s="9" t="s">
        <v>712</v>
      </c>
    </row>
    <row r="67" customFormat="false" ht="15" hidden="false" customHeight="false" outlineLevel="0" collapsed="false">
      <c r="A67" s="9" t="s">
        <v>19</v>
      </c>
      <c r="B67" s="10" t="s">
        <v>176</v>
      </c>
      <c r="C67" s="10" t="s">
        <v>177</v>
      </c>
      <c r="D67" s="10" t="s">
        <v>782</v>
      </c>
      <c r="E67" s="10" t="s">
        <v>707</v>
      </c>
      <c r="F67" s="10" t="s">
        <v>708</v>
      </c>
      <c r="G67" s="9" t="n">
        <v>30.6</v>
      </c>
      <c r="H67" s="10" t="s">
        <v>197</v>
      </c>
      <c r="I67" s="9" t="s">
        <v>712</v>
      </c>
    </row>
    <row r="68" customFormat="false" ht="15" hidden="false" customHeight="false" outlineLevel="0" collapsed="false">
      <c r="A68" s="9" t="s">
        <v>19</v>
      </c>
      <c r="B68" s="10" t="s">
        <v>176</v>
      </c>
      <c r="C68" s="10" t="s">
        <v>177</v>
      </c>
      <c r="D68" s="10" t="s">
        <v>783</v>
      </c>
      <c r="E68" s="10" t="s">
        <v>707</v>
      </c>
      <c r="F68" s="10" t="s">
        <v>708</v>
      </c>
      <c r="G68" s="9" t="n">
        <v>1268.4</v>
      </c>
      <c r="H68" s="10" t="s">
        <v>784</v>
      </c>
      <c r="I68" s="10" t="s">
        <v>710</v>
      </c>
    </row>
    <row r="69" customFormat="false" ht="15" hidden="false" customHeight="false" outlineLevel="0" collapsed="false">
      <c r="A69" s="9" t="s">
        <v>19</v>
      </c>
      <c r="B69" s="10" t="s">
        <v>176</v>
      </c>
      <c r="C69" s="10" t="s">
        <v>177</v>
      </c>
      <c r="D69" s="10" t="s">
        <v>785</v>
      </c>
      <c r="E69" s="10" t="s">
        <v>707</v>
      </c>
      <c r="F69" s="10" t="s">
        <v>708</v>
      </c>
      <c r="G69" s="9" t="n">
        <v>688.7</v>
      </c>
      <c r="H69" s="10" t="s">
        <v>786</v>
      </c>
      <c r="I69" s="10" t="s">
        <v>710</v>
      </c>
    </row>
    <row r="70" customFormat="false" ht="15" hidden="false" customHeight="false" outlineLevel="0" collapsed="false">
      <c r="A70" s="9" t="s">
        <v>19</v>
      </c>
      <c r="B70" s="10" t="s">
        <v>176</v>
      </c>
      <c r="C70" s="10" t="s">
        <v>177</v>
      </c>
      <c r="D70" s="10" t="s">
        <v>787</v>
      </c>
      <c r="E70" s="10" t="s">
        <v>707</v>
      </c>
      <c r="F70" s="10" t="s">
        <v>708</v>
      </c>
      <c r="G70" s="9" t="n">
        <v>636.4</v>
      </c>
      <c r="H70" s="10" t="s">
        <v>206</v>
      </c>
      <c r="I70" s="9" t="s">
        <v>712</v>
      </c>
    </row>
    <row r="71" customFormat="false" ht="15" hidden="false" customHeight="false" outlineLevel="0" collapsed="false">
      <c r="A71" s="9" t="s">
        <v>19</v>
      </c>
      <c r="B71" s="10" t="s">
        <v>176</v>
      </c>
      <c r="C71" s="10" t="s">
        <v>177</v>
      </c>
      <c r="D71" s="10" t="s">
        <v>788</v>
      </c>
      <c r="E71" s="10" t="s">
        <v>707</v>
      </c>
      <c r="F71" s="10" t="s">
        <v>708</v>
      </c>
      <c r="G71" s="9" t="n">
        <v>1236.6</v>
      </c>
      <c r="H71" s="10" t="s">
        <v>639</v>
      </c>
      <c r="I71" s="10" t="s">
        <v>710</v>
      </c>
    </row>
    <row r="72" customFormat="false" ht="15" hidden="false" customHeight="false" outlineLevel="0" collapsed="false">
      <c r="A72" s="9" t="s">
        <v>19</v>
      </c>
      <c r="B72" s="10" t="s">
        <v>176</v>
      </c>
      <c r="C72" s="10" t="s">
        <v>177</v>
      </c>
      <c r="D72" s="10" t="s">
        <v>789</v>
      </c>
      <c r="E72" s="10" t="s">
        <v>707</v>
      </c>
      <c r="F72" s="10" t="s">
        <v>708</v>
      </c>
      <c r="G72" s="9" t="n">
        <v>1241.4</v>
      </c>
      <c r="H72" s="10" t="s">
        <v>786</v>
      </c>
      <c r="I72" s="10" t="s">
        <v>710</v>
      </c>
    </row>
    <row r="73" customFormat="false" ht="15" hidden="false" customHeight="false" outlineLevel="0" collapsed="false">
      <c r="A73" s="9" t="s">
        <v>19</v>
      </c>
      <c r="B73" s="10" t="s">
        <v>90</v>
      </c>
      <c r="C73" s="10" t="s">
        <v>211</v>
      </c>
      <c r="D73" s="10" t="s">
        <v>790</v>
      </c>
      <c r="E73" s="10" t="s">
        <v>707</v>
      </c>
      <c r="F73" s="10" t="s">
        <v>708</v>
      </c>
      <c r="G73" s="9" t="n">
        <v>1108.1</v>
      </c>
      <c r="H73" s="10" t="s">
        <v>213</v>
      </c>
      <c r="I73" s="10" t="s">
        <v>710</v>
      </c>
    </row>
    <row r="74" customFormat="false" ht="15" hidden="false" customHeight="false" outlineLevel="0" collapsed="false">
      <c r="A74" s="9" t="s">
        <v>19</v>
      </c>
      <c r="B74" s="10" t="s">
        <v>90</v>
      </c>
      <c r="C74" s="10" t="s">
        <v>211</v>
      </c>
      <c r="D74" s="10" t="s">
        <v>791</v>
      </c>
      <c r="E74" s="10" t="s">
        <v>707</v>
      </c>
      <c r="F74" s="10" t="s">
        <v>708</v>
      </c>
      <c r="G74" s="9" t="n">
        <v>790.4</v>
      </c>
      <c r="H74" s="10" t="s">
        <v>213</v>
      </c>
      <c r="I74" s="9" t="s">
        <v>712</v>
      </c>
    </row>
    <row r="75" customFormat="false" ht="15" hidden="false" customHeight="false" outlineLevel="0" collapsed="false">
      <c r="A75" s="9" t="s">
        <v>19</v>
      </c>
      <c r="B75" s="10" t="s">
        <v>90</v>
      </c>
      <c r="C75" s="10" t="s">
        <v>211</v>
      </c>
      <c r="D75" s="10" t="s">
        <v>792</v>
      </c>
      <c r="E75" s="10" t="s">
        <v>707</v>
      </c>
      <c r="F75" s="10" t="s">
        <v>708</v>
      </c>
      <c r="G75" s="9" t="n">
        <v>791</v>
      </c>
      <c r="H75" s="10" t="s">
        <v>213</v>
      </c>
      <c r="I75" s="9" t="s">
        <v>712</v>
      </c>
    </row>
    <row r="76" customFormat="false" ht="15" hidden="false" customHeight="false" outlineLevel="0" collapsed="false">
      <c r="A76" s="9" t="s">
        <v>19</v>
      </c>
      <c r="B76" s="10" t="s">
        <v>90</v>
      </c>
      <c r="C76" s="10" t="s">
        <v>211</v>
      </c>
      <c r="D76" s="10" t="s">
        <v>793</v>
      </c>
      <c r="E76" s="10" t="s">
        <v>707</v>
      </c>
      <c r="F76" s="10" t="s">
        <v>708</v>
      </c>
      <c r="G76" s="9" t="n">
        <v>661.3</v>
      </c>
      <c r="H76" s="10" t="s">
        <v>794</v>
      </c>
      <c r="I76" s="9" t="s">
        <v>712</v>
      </c>
    </row>
    <row r="77" customFormat="false" ht="15" hidden="false" customHeight="false" outlineLevel="0" collapsed="false">
      <c r="A77" s="9" t="s">
        <v>19</v>
      </c>
      <c r="B77" s="10" t="s">
        <v>90</v>
      </c>
      <c r="C77" s="10" t="s">
        <v>211</v>
      </c>
      <c r="D77" s="10" t="s">
        <v>795</v>
      </c>
      <c r="E77" s="10" t="s">
        <v>707</v>
      </c>
      <c r="F77" s="10" t="s">
        <v>708</v>
      </c>
      <c r="G77" s="9" t="n">
        <v>760.4</v>
      </c>
      <c r="H77" s="10" t="s">
        <v>794</v>
      </c>
      <c r="I77" s="10" t="s">
        <v>710</v>
      </c>
    </row>
    <row r="78" customFormat="false" ht="15" hidden="false" customHeight="false" outlineLevel="0" collapsed="false">
      <c r="A78" s="9" t="s">
        <v>19</v>
      </c>
      <c r="B78" s="10" t="s">
        <v>90</v>
      </c>
      <c r="C78" s="10" t="s">
        <v>211</v>
      </c>
      <c r="D78" s="10" t="s">
        <v>796</v>
      </c>
      <c r="E78" s="10" t="s">
        <v>707</v>
      </c>
      <c r="F78" s="10" t="s">
        <v>708</v>
      </c>
      <c r="G78" s="9" t="n">
        <v>547.6</v>
      </c>
      <c r="H78" s="10" t="s">
        <v>218</v>
      </c>
      <c r="I78" s="9" t="s">
        <v>712</v>
      </c>
    </row>
    <row r="79" customFormat="false" ht="15" hidden="false" customHeight="false" outlineLevel="0" collapsed="false">
      <c r="A79" s="9" t="s">
        <v>19</v>
      </c>
      <c r="B79" s="10" t="s">
        <v>90</v>
      </c>
      <c r="C79" s="10" t="s">
        <v>211</v>
      </c>
      <c r="D79" s="10" t="s">
        <v>797</v>
      </c>
      <c r="E79" s="10" t="s">
        <v>707</v>
      </c>
      <c r="F79" s="10" t="s">
        <v>708</v>
      </c>
      <c r="G79" s="9" t="n">
        <v>374.7</v>
      </c>
      <c r="H79" s="10" t="s">
        <v>220</v>
      </c>
      <c r="I79" s="9" t="s">
        <v>712</v>
      </c>
    </row>
    <row r="80" customFormat="false" ht="15" hidden="false" customHeight="false" outlineLevel="0" collapsed="false">
      <c r="A80" s="9" t="s">
        <v>19</v>
      </c>
      <c r="B80" s="10" t="s">
        <v>90</v>
      </c>
      <c r="C80" s="10" t="s">
        <v>211</v>
      </c>
      <c r="D80" s="10" t="s">
        <v>798</v>
      </c>
      <c r="E80" s="10" t="s">
        <v>707</v>
      </c>
      <c r="F80" s="10" t="s">
        <v>708</v>
      </c>
      <c r="G80" s="9" t="n">
        <v>745.2</v>
      </c>
      <c r="H80" s="10" t="s">
        <v>794</v>
      </c>
      <c r="I80" s="10" t="s">
        <v>710</v>
      </c>
    </row>
    <row r="81" customFormat="false" ht="15" hidden="false" customHeight="false" outlineLevel="0" collapsed="false">
      <c r="A81" s="9" t="s">
        <v>19</v>
      </c>
      <c r="B81" s="10" t="s">
        <v>90</v>
      </c>
      <c r="C81" s="10" t="s">
        <v>211</v>
      </c>
      <c r="D81" s="10" t="s">
        <v>799</v>
      </c>
      <c r="E81" s="10" t="s">
        <v>707</v>
      </c>
      <c r="F81" s="10" t="s">
        <v>708</v>
      </c>
      <c r="G81" s="9" t="n">
        <v>129.5</v>
      </c>
      <c r="H81" s="10" t="s">
        <v>222</v>
      </c>
      <c r="I81" s="9" t="s">
        <v>712</v>
      </c>
    </row>
    <row r="82" customFormat="false" ht="15" hidden="false" customHeight="false" outlineLevel="0" collapsed="false">
      <c r="A82" s="9" t="s">
        <v>19</v>
      </c>
      <c r="B82" s="10" t="s">
        <v>90</v>
      </c>
      <c r="C82" s="10" t="s">
        <v>211</v>
      </c>
      <c r="D82" s="10" t="s">
        <v>800</v>
      </c>
      <c r="E82" s="10" t="s">
        <v>707</v>
      </c>
      <c r="F82" s="10" t="s">
        <v>708</v>
      </c>
      <c r="G82" s="9" t="n">
        <v>101.6</v>
      </c>
      <c r="H82" s="10" t="s">
        <v>224</v>
      </c>
      <c r="I82" s="9" t="s">
        <v>712</v>
      </c>
    </row>
    <row r="83" customFormat="false" ht="15" hidden="false" customHeight="false" outlineLevel="0" collapsed="false">
      <c r="A83" s="9" t="s">
        <v>19</v>
      </c>
      <c r="B83" s="10" t="s">
        <v>90</v>
      </c>
      <c r="C83" s="10" t="s">
        <v>211</v>
      </c>
      <c r="D83" s="10" t="s">
        <v>801</v>
      </c>
      <c r="E83" s="10" t="s">
        <v>707</v>
      </c>
      <c r="F83" s="10" t="s">
        <v>708</v>
      </c>
      <c r="G83" s="9" t="n">
        <v>215.3</v>
      </c>
      <c r="H83" s="10" t="s">
        <v>231</v>
      </c>
      <c r="I83" s="9" t="s">
        <v>712</v>
      </c>
    </row>
    <row r="84" customFormat="false" ht="15" hidden="false" customHeight="false" outlineLevel="0" collapsed="false">
      <c r="A84" s="9" t="s">
        <v>19</v>
      </c>
      <c r="B84" s="10" t="s">
        <v>90</v>
      </c>
      <c r="C84" s="10" t="s">
        <v>211</v>
      </c>
      <c r="D84" s="10" t="s">
        <v>802</v>
      </c>
      <c r="E84" s="10" t="s">
        <v>707</v>
      </c>
      <c r="F84" s="10" t="s">
        <v>708</v>
      </c>
      <c r="G84" s="9" t="n">
        <v>93.4</v>
      </c>
      <c r="H84" s="10" t="s">
        <v>231</v>
      </c>
      <c r="I84" s="9" t="s">
        <v>712</v>
      </c>
    </row>
    <row r="85" customFormat="false" ht="15" hidden="false" customHeight="false" outlineLevel="0" collapsed="false">
      <c r="A85" s="9" t="s">
        <v>19</v>
      </c>
      <c r="B85" s="10" t="s">
        <v>90</v>
      </c>
      <c r="C85" s="10" t="s">
        <v>211</v>
      </c>
      <c r="D85" s="10" t="s">
        <v>803</v>
      </c>
      <c r="E85" s="10" t="s">
        <v>707</v>
      </c>
      <c r="F85" s="10" t="s">
        <v>708</v>
      </c>
      <c r="G85" s="9" t="n">
        <v>541.3</v>
      </c>
      <c r="H85" s="10" t="s">
        <v>804</v>
      </c>
      <c r="I85" s="9" t="s">
        <v>712</v>
      </c>
    </row>
    <row r="86" customFormat="false" ht="15" hidden="false" customHeight="false" outlineLevel="0" collapsed="false">
      <c r="A86" s="9" t="s">
        <v>19</v>
      </c>
      <c r="B86" s="10" t="s">
        <v>90</v>
      </c>
      <c r="C86" s="10" t="s">
        <v>211</v>
      </c>
      <c r="D86" s="10" t="s">
        <v>805</v>
      </c>
      <c r="E86" s="10" t="s">
        <v>707</v>
      </c>
      <c r="F86" s="10" t="s">
        <v>708</v>
      </c>
      <c r="G86" s="9" t="n">
        <v>1108.1</v>
      </c>
      <c r="H86" s="10" t="s">
        <v>213</v>
      </c>
      <c r="I86" s="10" t="s">
        <v>710</v>
      </c>
    </row>
    <row r="87" customFormat="false" ht="15" hidden="false" customHeight="false" outlineLevel="0" collapsed="false">
      <c r="A87" s="9" t="s">
        <v>19</v>
      </c>
      <c r="B87" s="10" t="s">
        <v>90</v>
      </c>
      <c r="C87" s="10" t="s">
        <v>239</v>
      </c>
      <c r="D87" s="10" t="s">
        <v>806</v>
      </c>
      <c r="E87" s="10" t="s">
        <v>707</v>
      </c>
      <c r="F87" s="10" t="s">
        <v>708</v>
      </c>
      <c r="G87" s="9" t="n">
        <v>95.1</v>
      </c>
      <c r="H87" s="10" t="s">
        <v>98</v>
      </c>
      <c r="I87" s="9" t="s">
        <v>712</v>
      </c>
    </row>
    <row r="88" customFormat="false" ht="15" hidden="false" customHeight="false" outlineLevel="0" collapsed="false">
      <c r="A88" s="9" t="s">
        <v>19</v>
      </c>
      <c r="B88" s="10" t="s">
        <v>90</v>
      </c>
      <c r="C88" s="10" t="s">
        <v>239</v>
      </c>
      <c r="D88" s="10" t="s">
        <v>807</v>
      </c>
      <c r="E88" s="10" t="s">
        <v>707</v>
      </c>
      <c r="F88" s="10" t="s">
        <v>708</v>
      </c>
      <c r="G88" s="9" t="n">
        <v>109.1</v>
      </c>
      <c r="H88" s="10" t="s">
        <v>98</v>
      </c>
      <c r="I88" s="10" t="s">
        <v>710</v>
      </c>
    </row>
    <row r="89" customFormat="false" ht="15" hidden="false" customHeight="false" outlineLevel="0" collapsed="false">
      <c r="A89" s="9" t="s">
        <v>19</v>
      </c>
      <c r="B89" s="10" t="s">
        <v>90</v>
      </c>
      <c r="C89" s="10" t="s">
        <v>239</v>
      </c>
      <c r="D89" s="10" t="s">
        <v>808</v>
      </c>
      <c r="E89" s="10" t="s">
        <v>707</v>
      </c>
      <c r="F89" s="10" t="s">
        <v>708</v>
      </c>
      <c r="G89" s="9" t="n">
        <v>947.1</v>
      </c>
      <c r="H89" s="10" t="s">
        <v>98</v>
      </c>
      <c r="I89" s="9" t="s">
        <v>712</v>
      </c>
    </row>
    <row r="90" customFormat="false" ht="15" hidden="false" customHeight="false" outlineLevel="0" collapsed="false">
      <c r="A90" s="9" t="s">
        <v>19</v>
      </c>
      <c r="B90" s="10" t="s">
        <v>90</v>
      </c>
      <c r="C90" s="10" t="s">
        <v>239</v>
      </c>
      <c r="D90" s="10" t="s">
        <v>809</v>
      </c>
      <c r="E90" s="10" t="s">
        <v>707</v>
      </c>
      <c r="F90" s="10" t="s">
        <v>708</v>
      </c>
      <c r="G90" s="9" t="n">
        <v>950.6</v>
      </c>
      <c r="H90" s="10" t="s">
        <v>810</v>
      </c>
      <c r="I90" s="9" t="s">
        <v>712</v>
      </c>
    </row>
    <row r="91" customFormat="false" ht="15" hidden="false" customHeight="false" outlineLevel="0" collapsed="false">
      <c r="A91" s="9" t="s">
        <v>19</v>
      </c>
      <c r="B91" s="10" t="s">
        <v>90</v>
      </c>
      <c r="C91" s="10" t="s">
        <v>239</v>
      </c>
      <c r="D91" s="10" t="s">
        <v>811</v>
      </c>
      <c r="E91" s="10" t="s">
        <v>707</v>
      </c>
      <c r="F91" s="10" t="s">
        <v>708</v>
      </c>
      <c r="G91" s="9" t="n">
        <v>92.2</v>
      </c>
      <c r="H91" s="10" t="s">
        <v>61</v>
      </c>
      <c r="I91" s="9" t="s">
        <v>712</v>
      </c>
    </row>
    <row r="92" customFormat="false" ht="15" hidden="false" customHeight="false" outlineLevel="0" collapsed="false">
      <c r="A92" s="9" t="s">
        <v>19</v>
      </c>
      <c r="B92" s="10" t="s">
        <v>90</v>
      </c>
      <c r="C92" s="10" t="s">
        <v>239</v>
      </c>
      <c r="D92" s="10" t="s">
        <v>812</v>
      </c>
      <c r="E92" s="10" t="s">
        <v>707</v>
      </c>
      <c r="F92" s="10" t="s">
        <v>708</v>
      </c>
      <c r="G92" s="9" t="n">
        <v>141.6</v>
      </c>
      <c r="H92" s="10" t="s">
        <v>248</v>
      </c>
      <c r="I92" s="9" t="s">
        <v>712</v>
      </c>
    </row>
    <row r="93" customFormat="false" ht="15" hidden="false" customHeight="false" outlineLevel="0" collapsed="false">
      <c r="A93" s="9" t="s">
        <v>19</v>
      </c>
      <c r="B93" s="10" t="s">
        <v>90</v>
      </c>
      <c r="C93" s="10" t="s">
        <v>239</v>
      </c>
      <c r="D93" s="10" t="s">
        <v>813</v>
      </c>
      <c r="E93" s="10" t="s">
        <v>707</v>
      </c>
      <c r="F93" s="10" t="s">
        <v>708</v>
      </c>
      <c r="G93" s="9" t="n">
        <v>532</v>
      </c>
      <c r="H93" s="10" t="s">
        <v>259</v>
      </c>
      <c r="I93" s="9" t="s">
        <v>712</v>
      </c>
    </row>
    <row r="94" customFormat="false" ht="15" hidden="false" customHeight="false" outlineLevel="0" collapsed="false">
      <c r="A94" s="9" t="s">
        <v>19</v>
      </c>
      <c r="B94" s="10" t="s">
        <v>90</v>
      </c>
      <c r="C94" s="10" t="s">
        <v>239</v>
      </c>
      <c r="D94" s="10" t="s">
        <v>814</v>
      </c>
      <c r="E94" s="10" t="s">
        <v>707</v>
      </c>
      <c r="F94" s="10" t="s">
        <v>708</v>
      </c>
      <c r="G94" s="9" t="n">
        <v>28.4</v>
      </c>
      <c r="H94" s="10" t="s">
        <v>261</v>
      </c>
      <c r="I94" s="9" t="s">
        <v>712</v>
      </c>
    </row>
    <row r="95" customFormat="false" ht="15" hidden="false" customHeight="false" outlineLevel="0" collapsed="false">
      <c r="A95" s="9" t="s">
        <v>19</v>
      </c>
      <c r="B95" s="10" t="s">
        <v>90</v>
      </c>
      <c r="C95" s="10" t="s">
        <v>239</v>
      </c>
      <c r="D95" s="10" t="s">
        <v>815</v>
      </c>
      <c r="E95" s="10" t="s">
        <v>707</v>
      </c>
      <c r="F95" s="10" t="s">
        <v>708</v>
      </c>
      <c r="G95" s="9" t="n">
        <v>87.3</v>
      </c>
      <c r="H95" s="10" t="s">
        <v>259</v>
      </c>
      <c r="I95" s="9" t="s">
        <v>712</v>
      </c>
    </row>
    <row r="96" customFormat="false" ht="15" hidden="false" customHeight="false" outlineLevel="0" collapsed="false">
      <c r="A96" s="9" t="s">
        <v>19</v>
      </c>
      <c r="B96" s="10" t="s">
        <v>90</v>
      </c>
      <c r="C96" s="10" t="s">
        <v>239</v>
      </c>
      <c r="D96" s="10" t="s">
        <v>816</v>
      </c>
      <c r="E96" s="10" t="s">
        <v>707</v>
      </c>
      <c r="F96" s="10" t="s">
        <v>708</v>
      </c>
      <c r="G96" s="9" t="n">
        <v>1296.5</v>
      </c>
      <c r="H96" s="10" t="s">
        <v>817</v>
      </c>
      <c r="I96" s="9" t="s">
        <v>712</v>
      </c>
    </row>
    <row r="97" customFormat="false" ht="15" hidden="false" customHeight="false" outlineLevel="0" collapsed="false">
      <c r="A97" s="9" t="s">
        <v>19</v>
      </c>
      <c r="B97" s="10" t="s">
        <v>90</v>
      </c>
      <c r="C97" s="10" t="s">
        <v>239</v>
      </c>
      <c r="D97" s="10" t="s">
        <v>818</v>
      </c>
      <c r="E97" s="10" t="s">
        <v>707</v>
      </c>
      <c r="F97" s="10" t="s">
        <v>708</v>
      </c>
      <c r="G97" s="9" t="n">
        <v>1624.8</v>
      </c>
      <c r="H97" s="10" t="s">
        <v>819</v>
      </c>
      <c r="I97" s="10" t="s">
        <v>710</v>
      </c>
    </row>
    <row r="98" customFormat="false" ht="15" hidden="false" customHeight="false" outlineLevel="0" collapsed="false">
      <c r="A98" s="9" t="s">
        <v>19</v>
      </c>
      <c r="B98" s="10" t="s">
        <v>90</v>
      </c>
      <c r="C98" s="10" t="s">
        <v>239</v>
      </c>
      <c r="D98" s="10" t="s">
        <v>820</v>
      </c>
      <c r="E98" s="10" t="s">
        <v>707</v>
      </c>
      <c r="F98" s="10" t="s">
        <v>708</v>
      </c>
      <c r="G98" s="9" t="n">
        <v>216.3</v>
      </c>
      <c r="H98" s="10" t="s">
        <v>272</v>
      </c>
      <c r="I98" s="9" t="s">
        <v>712</v>
      </c>
    </row>
    <row r="99" customFormat="false" ht="15" hidden="false" customHeight="false" outlineLevel="0" collapsed="false">
      <c r="A99" s="9" t="s">
        <v>19</v>
      </c>
      <c r="B99" s="10" t="s">
        <v>90</v>
      </c>
      <c r="C99" s="10" t="s">
        <v>239</v>
      </c>
      <c r="D99" s="9" t="s">
        <v>821</v>
      </c>
      <c r="E99" s="10" t="s">
        <v>707</v>
      </c>
      <c r="F99" s="10" t="s">
        <v>708</v>
      </c>
      <c r="G99" s="9" t="n">
        <v>216.3</v>
      </c>
      <c r="H99" s="10" t="s">
        <v>822</v>
      </c>
      <c r="I99" s="10" t="s">
        <v>710</v>
      </c>
    </row>
    <row r="100" customFormat="false" ht="15" hidden="false" customHeight="false" outlineLevel="0" collapsed="false">
      <c r="A100" s="9" t="s">
        <v>19</v>
      </c>
      <c r="B100" s="10" t="s">
        <v>90</v>
      </c>
      <c r="C100" s="10" t="s">
        <v>823</v>
      </c>
      <c r="D100" s="10" t="s">
        <v>824</v>
      </c>
      <c r="E100" s="10" t="s">
        <v>707</v>
      </c>
      <c r="F100" s="10" t="s">
        <v>708</v>
      </c>
      <c r="G100" s="9" t="n">
        <v>455.6</v>
      </c>
      <c r="H100" s="10" t="s">
        <v>825</v>
      </c>
      <c r="I100" s="10" t="s">
        <v>710</v>
      </c>
    </row>
    <row r="101" customFormat="false" ht="15" hidden="false" customHeight="false" outlineLevel="0" collapsed="false">
      <c r="A101" s="9" t="s">
        <v>19</v>
      </c>
      <c r="B101" s="10" t="s">
        <v>90</v>
      </c>
      <c r="C101" s="10" t="s">
        <v>823</v>
      </c>
      <c r="D101" s="10" t="s">
        <v>826</v>
      </c>
      <c r="E101" s="10" t="s">
        <v>707</v>
      </c>
      <c r="F101" s="10" t="s">
        <v>708</v>
      </c>
      <c r="G101" s="9" t="n">
        <v>264.9</v>
      </c>
      <c r="H101" s="10" t="s">
        <v>61</v>
      </c>
      <c r="I101" s="10" t="s">
        <v>710</v>
      </c>
    </row>
    <row r="102" customFormat="false" ht="15" hidden="false" customHeight="false" outlineLevel="0" collapsed="false">
      <c r="A102" s="9" t="s">
        <v>19</v>
      </c>
      <c r="B102" s="10" t="s">
        <v>90</v>
      </c>
      <c r="C102" s="10" t="s">
        <v>823</v>
      </c>
      <c r="D102" s="10" t="s">
        <v>827</v>
      </c>
      <c r="E102" s="10" t="s">
        <v>707</v>
      </c>
      <c r="F102" s="10" t="s">
        <v>708</v>
      </c>
      <c r="G102" s="9" t="n">
        <v>337.3</v>
      </c>
      <c r="H102" s="10" t="s">
        <v>828</v>
      </c>
      <c r="I102" s="10" t="s">
        <v>710</v>
      </c>
    </row>
    <row r="103" customFormat="false" ht="15" hidden="false" customHeight="false" outlineLevel="0" collapsed="false">
      <c r="A103" s="9" t="s">
        <v>19</v>
      </c>
      <c r="B103" s="10" t="s">
        <v>90</v>
      </c>
      <c r="C103" s="10" t="s">
        <v>823</v>
      </c>
      <c r="D103" s="9" t="s">
        <v>829</v>
      </c>
      <c r="E103" s="10" t="s">
        <v>707</v>
      </c>
      <c r="F103" s="10" t="s">
        <v>708</v>
      </c>
      <c r="G103" s="9" t="n">
        <v>28.1</v>
      </c>
      <c r="H103" s="10" t="s">
        <v>830</v>
      </c>
      <c r="I103" s="10" t="s">
        <v>710</v>
      </c>
    </row>
    <row r="104" customFormat="false" ht="15" hidden="false" customHeight="false" outlineLevel="0" collapsed="false">
      <c r="A104" s="9" t="s">
        <v>20</v>
      </c>
      <c r="B104" s="10" t="s">
        <v>65</v>
      </c>
      <c r="C104" s="10" t="s">
        <v>273</v>
      </c>
      <c r="D104" s="9" t="s">
        <v>831</v>
      </c>
      <c r="E104" s="10" t="s">
        <v>707</v>
      </c>
      <c r="F104" s="10" t="s">
        <v>708</v>
      </c>
      <c r="G104" s="9" t="n">
        <v>397.9</v>
      </c>
      <c r="H104" s="10" t="s">
        <v>275</v>
      </c>
      <c r="I104" s="9" t="s">
        <v>712</v>
      </c>
    </row>
    <row r="105" customFormat="false" ht="15" hidden="false" customHeight="false" outlineLevel="0" collapsed="false">
      <c r="A105" s="9" t="s">
        <v>20</v>
      </c>
      <c r="B105" s="10" t="s">
        <v>276</v>
      </c>
      <c r="C105" s="10" t="s">
        <v>832</v>
      </c>
      <c r="D105" s="10" t="s">
        <v>833</v>
      </c>
      <c r="E105" s="10" t="s">
        <v>707</v>
      </c>
      <c r="F105" s="10" t="s">
        <v>708</v>
      </c>
      <c r="G105" s="9" t="n">
        <v>860.5</v>
      </c>
      <c r="H105" s="10" t="s">
        <v>834</v>
      </c>
      <c r="I105" s="10" t="s">
        <v>710</v>
      </c>
    </row>
    <row r="106" customFormat="false" ht="15" hidden="false" customHeight="false" outlineLevel="0" collapsed="false">
      <c r="A106" s="9" t="s">
        <v>20</v>
      </c>
      <c r="B106" s="10" t="s">
        <v>276</v>
      </c>
      <c r="C106" s="10" t="s">
        <v>832</v>
      </c>
      <c r="D106" s="10" t="s">
        <v>835</v>
      </c>
      <c r="E106" s="10" t="s">
        <v>707</v>
      </c>
      <c r="F106" s="10" t="s">
        <v>708</v>
      </c>
      <c r="G106" s="9" t="n">
        <v>998.5</v>
      </c>
      <c r="H106" s="10" t="s">
        <v>836</v>
      </c>
      <c r="I106" s="10" t="s">
        <v>710</v>
      </c>
    </row>
    <row r="107" customFormat="false" ht="15" hidden="false" customHeight="false" outlineLevel="0" collapsed="false">
      <c r="A107" s="9" t="s">
        <v>20</v>
      </c>
      <c r="B107" s="10" t="s">
        <v>276</v>
      </c>
      <c r="C107" s="10" t="s">
        <v>277</v>
      </c>
      <c r="D107" s="9" t="s">
        <v>837</v>
      </c>
      <c r="E107" s="10" t="s">
        <v>707</v>
      </c>
      <c r="F107" s="10" t="s">
        <v>708</v>
      </c>
      <c r="G107" s="9" t="n">
        <v>162.1</v>
      </c>
      <c r="H107" s="10" t="s">
        <v>838</v>
      </c>
      <c r="I107" s="9" t="s">
        <v>712</v>
      </c>
    </row>
    <row r="108" customFormat="false" ht="15" hidden="false" customHeight="false" outlineLevel="0" collapsed="false">
      <c r="A108" s="9" t="s">
        <v>20</v>
      </c>
      <c r="B108" s="10" t="s">
        <v>280</v>
      </c>
      <c r="C108" s="10" t="s">
        <v>281</v>
      </c>
      <c r="D108" s="10" t="s">
        <v>839</v>
      </c>
      <c r="E108" s="10" t="s">
        <v>707</v>
      </c>
      <c r="F108" s="10" t="s">
        <v>708</v>
      </c>
      <c r="G108" s="9" t="n">
        <v>27.3</v>
      </c>
      <c r="H108" s="10" t="s">
        <v>283</v>
      </c>
      <c r="I108" s="9" t="s">
        <v>712</v>
      </c>
    </row>
    <row r="109" customFormat="false" ht="15" hidden="false" customHeight="false" outlineLevel="0" collapsed="false">
      <c r="A109" s="9" t="s">
        <v>20</v>
      </c>
      <c r="B109" s="10" t="s">
        <v>280</v>
      </c>
      <c r="C109" s="10" t="s">
        <v>281</v>
      </c>
      <c r="D109" s="10" t="s">
        <v>840</v>
      </c>
      <c r="E109" s="10" t="s">
        <v>707</v>
      </c>
      <c r="F109" s="10" t="s">
        <v>708</v>
      </c>
      <c r="G109" s="9" t="n">
        <v>32.7</v>
      </c>
      <c r="H109" s="10" t="s">
        <v>285</v>
      </c>
      <c r="I109" s="9" t="s">
        <v>712</v>
      </c>
    </row>
    <row r="110" customFormat="false" ht="15" hidden="false" customHeight="false" outlineLevel="0" collapsed="false">
      <c r="A110" s="9" t="s">
        <v>20</v>
      </c>
      <c r="B110" s="10" t="s">
        <v>280</v>
      </c>
      <c r="C110" s="10" t="s">
        <v>281</v>
      </c>
      <c r="D110" s="10" t="s">
        <v>841</v>
      </c>
      <c r="E110" s="10" t="s">
        <v>707</v>
      </c>
      <c r="F110" s="10" t="s">
        <v>708</v>
      </c>
      <c r="G110" s="9" t="n">
        <v>25.6</v>
      </c>
      <c r="H110" s="10" t="s">
        <v>283</v>
      </c>
      <c r="I110" s="9" t="s">
        <v>712</v>
      </c>
    </row>
    <row r="111" customFormat="false" ht="15" hidden="false" customHeight="false" outlineLevel="0" collapsed="false">
      <c r="A111" s="9" t="s">
        <v>20</v>
      </c>
      <c r="B111" s="10" t="s">
        <v>280</v>
      </c>
      <c r="C111" s="10" t="s">
        <v>281</v>
      </c>
      <c r="D111" s="10" t="s">
        <v>842</v>
      </c>
      <c r="E111" s="10" t="s">
        <v>707</v>
      </c>
      <c r="F111" s="10" t="s">
        <v>708</v>
      </c>
      <c r="G111" s="9" t="n">
        <v>8026</v>
      </c>
      <c r="H111" s="10" t="s">
        <v>843</v>
      </c>
      <c r="I111" s="10" t="s">
        <v>710</v>
      </c>
    </row>
    <row r="112" customFormat="false" ht="15" hidden="false" customHeight="false" outlineLevel="0" collapsed="false">
      <c r="A112" s="9" t="s">
        <v>20</v>
      </c>
      <c r="B112" s="10" t="s">
        <v>280</v>
      </c>
      <c r="C112" s="10" t="s">
        <v>281</v>
      </c>
      <c r="D112" s="10" t="s">
        <v>844</v>
      </c>
      <c r="E112" s="10" t="s">
        <v>707</v>
      </c>
      <c r="F112" s="10" t="s">
        <v>708</v>
      </c>
      <c r="G112" s="9" t="n">
        <v>819.8</v>
      </c>
      <c r="H112" s="10" t="s">
        <v>283</v>
      </c>
      <c r="I112" s="10" t="s">
        <v>710</v>
      </c>
    </row>
    <row r="113" customFormat="false" ht="15" hidden="false" customHeight="false" outlineLevel="0" collapsed="false">
      <c r="A113" s="9" t="s">
        <v>20</v>
      </c>
      <c r="B113" s="10" t="s">
        <v>280</v>
      </c>
      <c r="C113" s="10" t="s">
        <v>281</v>
      </c>
      <c r="D113" s="10" t="s">
        <v>845</v>
      </c>
      <c r="E113" s="10" t="s">
        <v>707</v>
      </c>
      <c r="F113" s="10" t="s">
        <v>708</v>
      </c>
      <c r="G113" s="9" t="n">
        <v>13154.5</v>
      </c>
      <c r="H113" s="10" t="s">
        <v>843</v>
      </c>
      <c r="I113" s="10" t="s">
        <v>710</v>
      </c>
    </row>
    <row r="114" customFormat="false" ht="15" hidden="false" customHeight="false" outlineLevel="0" collapsed="false">
      <c r="A114" s="9" t="s">
        <v>20</v>
      </c>
      <c r="B114" s="10" t="s">
        <v>280</v>
      </c>
      <c r="C114" s="10" t="s">
        <v>281</v>
      </c>
      <c r="D114" s="10" t="s">
        <v>846</v>
      </c>
      <c r="E114" s="10" t="s">
        <v>707</v>
      </c>
      <c r="F114" s="10" t="s">
        <v>708</v>
      </c>
      <c r="G114" s="9" t="n">
        <v>169.4</v>
      </c>
      <c r="H114" s="10" t="s">
        <v>847</v>
      </c>
      <c r="I114" s="10" t="s">
        <v>710</v>
      </c>
    </row>
    <row r="115" customFormat="false" ht="15" hidden="false" customHeight="false" outlineLevel="0" collapsed="false">
      <c r="A115" s="9" t="s">
        <v>20</v>
      </c>
      <c r="B115" s="10" t="s">
        <v>280</v>
      </c>
      <c r="C115" s="10" t="s">
        <v>281</v>
      </c>
      <c r="D115" s="10" t="s">
        <v>848</v>
      </c>
      <c r="E115" s="10" t="s">
        <v>707</v>
      </c>
      <c r="F115" s="10" t="s">
        <v>708</v>
      </c>
      <c r="G115" s="9" t="n">
        <v>471.8</v>
      </c>
      <c r="H115" s="10" t="s">
        <v>288</v>
      </c>
      <c r="I115" s="10" t="s">
        <v>710</v>
      </c>
    </row>
    <row r="116" customFormat="false" ht="15" hidden="false" customHeight="false" outlineLevel="0" collapsed="false">
      <c r="A116" s="9" t="s">
        <v>20</v>
      </c>
      <c r="B116" s="10" t="s">
        <v>280</v>
      </c>
      <c r="C116" s="10" t="s">
        <v>281</v>
      </c>
      <c r="D116" s="10" t="s">
        <v>849</v>
      </c>
      <c r="E116" s="10" t="s">
        <v>707</v>
      </c>
      <c r="F116" s="10" t="s">
        <v>708</v>
      </c>
      <c r="G116" s="9" t="n">
        <v>2343.9</v>
      </c>
      <c r="H116" s="10" t="s">
        <v>295</v>
      </c>
      <c r="I116" s="9" t="s">
        <v>712</v>
      </c>
    </row>
    <row r="117" customFormat="false" ht="15" hidden="false" customHeight="false" outlineLevel="0" collapsed="false">
      <c r="A117" s="9" t="s">
        <v>20</v>
      </c>
      <c r="B117" s="10" t="s">
        <v>280</v>
      </c>
      <c r="C117" s="10" t="s">
        <v>281</v>
      </c>
      <c r="D117" s="10" t="s">
        <v>850</v>
      </c>
      <c r="E117" s="10" t="s">
        <v>707</v>
      </c>
      <c r="F117" s="10" t="s">
        <v>708</v>
      </c>
      <c r="G117" s="9" t="n">
        <v>1730.5</v>
      </c>
      <c r="H117" s="10" t="s">
        <v>851</v>
      </c>
      <c r="I117" s="9" t="s">
        <v>712</v>
      </c>
    </row>
    <row r="118" customFormat="false" ht="15" hidden="false" customHeight="false" outlineLevel="0" collapsed="false">
      <c r="A118" s="9" t="s">
        <v>20</v>
      </c>
      <c r="B118" s="10" t="s">
        <v>280</v>
      </c>
      <c r="C118" s="10" t="s">
        <v>281</v>
      </c>
      <c r="D118" s="10" t="s">
        <v>852</v>
      </c>
      <c r="E118" s="10" t="s">
        <v>707</v>
      </c>
      <c r="F118" s="10" t="s">
        <v>708</v>
      </c>
      <c r="G118" s="9" t="n">
        <v>63.2</v>
      </c>
      <c r="H118" s="10" t="s">
        <v>288</v>
      </c>
      <c r="I118" s="9" t="s">
        <v>712</v>
      </c>
    </row>
    <row r="119" customFormat="false" ht="15" hidden="false" customHeight="false" outlineLevel="0" collapsed="false">
      <c r="A119" s="9" t="s">
        <v>20</v>
      </c>
      <c r="B119" s="10" t="s">
        <v>280</v>
      </c>
      <c r="C119" s="10" t="s">
        <v>281</v>
      </c>
      <c r="D119" s="10" t="s">
        <v>853</v>
      </c>
      <c r="E119" s="10" t="s">
        <v>707</v>
      </c>
      <c r="F119" s="10" t="s">
        <v>708</v>
      </c>
      <c r="G119" s="9" t="n">
        <v>52.3</v>
      </c>
      <c r="H119" s="10" t="s">
        <v>851</v>
      </c>
      <c r="I119" s="10" t="s">
        <v>710</v>
      </c>
    </row>
    <row r="120" customFormat="false" ht="15" hidden="false" customHeight="false" outlineLevel="0" collapsed="false">
      <c r="A120" s="9" t="s">
        <v>20</v>
      </c>
      <c r="B120" s="10" t="s">
        <v>280</v>
      </c>
      <c r="C120" s="10" t="s">
        <v>281</v>
      </c>
      <c r="D120" s="10" t="s">
        <v>854</v>
      </c>
      <c r="E120" s="10" t="s">
        <v>707</v>
      </c>
      <c r="F120" s="10" t="s">
        <v>708</v>
      </c>
      <c r="G120" s="9" t="n">
        <v>850.7</v>
      </c>
      <c r="H120" s="10" t="s">
        <v>292</v>
      </c>
      <c r="I120" s="9" t="s">
        <v>712</v>
      </c>
    </row>
    <row r="121" customFormat="false" ht="15" hidden="false" customHeight="false" outlineLevel="0" collapsed="false">
      <c r="A121" s="9" t="s">
        <v>20</v>
      </c>
      <c r="B121" s="10" t="s">
        <v>280</v>
      </c>
      <c r="C121" s="10" t="s">
        <v>281</v>
      </c>
      <c r="D121" s="9" t="s">
        <v>855</v>
      </c>
      <c r="E121" s="10" t="s">
        <v>707</v>
      </c>
      <c r="F121" s="10" t="s">
        <v>708</v>
      </c>
      <c r="G121" s="9" t="n">
        <v>25.8</v>
      </c>
      <c r="H121" s="10" t="s">
        <v>304</v>
      </c>
      <c r="I121" s="9" t="s">
        <v>712</v>
      </c>
    </row>
    <row r="122" customFormat="false" ht="15" hidden="false" customHeight="false" outlineLevel="0" collapsed="false">
      <c r="A122" s="9" t="s">
        <v>20</v>
      </c>
      <c r="B122" s="10" t="s">
        <v>280</v>
      </c>
      <c r="C122" s="10" t="s">
        <v>281</v>
      </c>
      <c r="D122" s="9" t="s">
        <v>856</v>
      </c>
      <c r="E122" s="10" t="s">
        <v>707</v>
      </c>
      <c r="F122" s="10" t="s">
        <v>708</v>
      </c>
      <c r="G122" s="9" t="n">
        <v>27.2</v>
      </c>
      <c r="H122" s="10" t="s">
        <v>304</v>
      </c>
      <c r="I122" s="9" t="s">
        <v>712</v>
      </c>
    </row>
    <row r="123" customFormat="false" ht="15" hidden="false" customHeight="false" outlineLevel="0" collapsed="false">
      <c r="A123" s="9" t="s">
        <v>21</v>
      </c>
      <c r="B123" s="10" t="s">
        <v>104</v>
      </c>
      <c r="C123" s="10" t="s">
        <v>306</v>
      </c>
      <c r="D123" s="10" t="s">
        <v>857</v>
      </c>
      <c r="E123" s="10" t="s">
        <v>707</v>
      </c>
      <c r="F123" s="10" t="s">
        <v>708</v>
      </c>
      <c r="G123" s="9" t="n">
        <v>3327.4</v>
      </c>
      <c r="H123" s="10" t="s">
        <v>348</v>
      </c>
      <c r="I123" s="10" t="s">
        <v>710</v>
      </c>
    </row>
    <row r="124" customFormat="false" ht="15" hidden="false" customHeight="false" outlineLevel="0" collapsed="false">
      <c r="A124" s="9" t="s">
        <v>21</v>
      </c>
      <c r="B124" s="10" t="s">
        <v>104</v>
      </c>
      <c r="C124" s="10" t="s">
        <v>306</v>
      </c>
      <c r="D124" s="10" t="s">
        <v>858</v>
      </c>
      <c r="E124" s="10" t="s">
        <v>707</v>
      </c>
      <c r="F124" s="10" t="s">
        <v>708</v>
      </c>
      <c r="G124" s="9" t="n">
        <v>3675.7</v>
      </c>
      <c r="H124" s="10" t="s">
        <v>308</v>
      </c>
      <c r="I124" s="10" t="s">
        <v>710</v>
      </c>
    </row>
    <row r="125" customFormat="false" ht="15" hidden="false" customHeight="false" outlineLevel="0" collapsed="false">
      <c r="A125" s="9" t="s">
        <v>21</v>
      </c>
      <c r="B125" s="10" t="s">
        <v>104</v>
      </c>
      <c r="C125" s="10" t="s">
        <v>306</v>
      </c>
      <c r="D125" s="10" t="s">
        <v>859</v>
      </c>
      <c r="E125" s="10" t="s">
        <v>707</v>
      </c>
      <c r="F125" s="10" t="s">
        <v>708</v>
      </c>
      <c r="G125" s="9" t="n">
        <v>4077.8</v>
      </c>
      <c r="H125" s="10" t="s">
        <v>337</v>
      </c>
      <c r="I125" s="9" t="s">
        <v>712</v>
      </c>
    </row>
    <row r="126" customFormat="false" ht="15" hidden="false" customHeight="false" outlineLevel="0" collapsed="false">
      <c r="A126" s="9" t="s">
        <v>21</v>
      </c>
      <c r="B126" s="10" t="s">
        <v>104</v>
      </c>
      <c r="C126" s="10" t="s">
        <v>306</v>
      </c>
      <c r="D126" s="10" t="s">
        <v>860</v>
      </c>
      <c r="E126" s="10" t="s">
        <v>707</v>
      </c>
      <c r="F126" s="10" t="s">
        <v>708</v>
      </c>
      <c r="G126" s="9" t="n">
        <v>2734.8</v>
      </c>
      <c r="H126" s="10" t="s">
        <v>861</v>
      </c>
      <c r="I126" s="10" t="s">
        <v>710</v>
      </c>
    </row>
    <row r="127" customFormat="false" ht="15" hidden="false" customHeight="false" outlineLevel="0" collapsed="false">
      <c r="A127" s="9" t="s">
        <v>21</v>
      </c>
      <c r="B127" s="10" t="s">
        <v>104</v>
      </c>
      <c r="C127" s="10" t="s">
        <v>306</v>
      </c>
      <c r="D127" s="10" t="s">
        <v>862</v>
      </c>
      <c r="E127" s="10" t="s">
        <v>707</v>
      </c>
      <c r="F127" s="10" t="s">
        <v>708</v>
      </c>
      <c r="G127" s="9" t="n">
        <v>3161.7</v>
      </c>
      <c r="H127" s="10" t="s">
        <v>863</v>
      </c>
      <c r="I127" s="9" t="s">
        <v>712</v>
      </c>
    </row>
    <row r="128" customFormat="false" ht="15" hidden="false" customHeight="false" outlineLevel="0" collapsed="false">
      <c r="A128" s="9" t="s">
        <v>21</v>
      </c>
      <c r="B128" s="10" t="s">
        <v>104</v>
      </c>
      <c r="C128" s="10" t="s">
        <v>306</v>
      </c>
      <c r="D128" s="10" t="s">
        <v>864</v>
      </c>
      <c r="E128" s="10" t="s">
        <v>707</v>
      </c>
      <c r="F128" s="10" t="s">
        <v>708</v>
      </c>
      <c r="G128" s="9" t="n">
        <v>320.9</v>
      </c>
      <c r="H128" s="10" t="s">
        <v>865</v>
      </c>
      <c r="I128" s="10" t="s">
        <v>710</v>
      </c>
    </row>
    <row r="129" customFormat="false" ht="15" hidden="false" customHeight="false" outlineLevel="0" collapsed="false">
      <c r="A129" s="9" t="s">
        <v>21</v>
      </c>
      <c r="B129" s="10" t="s">
        <v>104</v>
      </c>
      <c r="C129" s="10" t="s">
        <v>306</v>
      </c>
      <c r="D129" s="10" t="s">
        <v>866</v>
      </c>
      <c r="E129" s="10" t="s">
        <v>707</v>
      </c>
      <c r="F129" s="10" t="s">
        <v>708</v>
      </c>
      <c r="G129" s="9" t="n">
        <v>89.7</v>
      </c>
      <c r="H129" s="10" t="s">
        <v>315</v>
      </c>
      <c r="I129" s="9" t="s">
        <v>712</v>
      </c>
    </row>
    <row r="130" customFormat="false" ht="15" hidden="false" customHeight="false" outlineLevel="0" collapsed="false">
      <c r="A130" s="9" t="s">
        <v>21</v>
      </c>
      <c r="B130" s="10" t="s">
        <v>104</v>
      </c>
      <c r="C130" s="10" t="s">
        <v>306</v>
      </c>
      <c r="D130" s="10" t="s">
        <v>867</v>
      </c>
      <c r="E130" s="10" t="s">
        <v>707</v>
      </c>
      <c r="F130" s="10" t="s">
        <v>708</v>
      </c>
      <c r="G130" s="9" t="n">
        <v>444.5</v>
      </c>
      <c r="H130" s="10" t="s">
        <v>315</v>
      </c>
      <c r="I130" s="10" t="s">
        <v>710</v>
      </c>
    </row>
    <row r="131" customFormat="false" ht="15" hidden="false" customHeight="false" outlineLevel="0" collapsed="false">
      <c r="A131" s="9" t="s">
        <v>21</v>
      </c>
      <c r="B131" s="10" t="s">
        <v>104</v>
      </c>
      <c r="C131" s="10" t="s">
        <v>306</v>
      </c>
      <c r="D131" s="10" t="s">
        <v>868</v>
      </c>
      <c r="E131" s="10" t="s">
        <v>707</v>
      </c>
      <c r="F131" s="10" t="s">
        <v>708</v>
      </c>
      <c r="G131" s="9" t="n">
        <v>207.2</v>
      </c>
      <c r="H131" s="10" t="s">
        <v>865</v>
      </c>
      <c r="I131" s="10" t="s">
        <v>710</v>
      </c>
    </row>
    <row r="132" customFormat="false" ht="15" hidden="false" customHeight="false" outlineLevel="0" collapsed="false">
      <c r="A132" s="9" t="s">
        <v>21</v>
      </c>
      <c r="B132" s="10" t="s">
        <v>104</v>
      </c>
      <c r="C132" s="10" t="s">
        <v>306</v>
      </c>
      <c r="D132" s="10" t="s">
        <v>869</v>
      </c>
      <c r="E132" s="10" t="s">
        <v>707</v>
      </c>
      <c r="F132" s="10" t="s">
        <v>708</v>
      </c>
      <c r="G132" s="9" t="n">
        <v>242.2</v>
      </c>
      <c r="H132" s="10" t="s">
        <v>315</v>
      </c>
      <c r="I132" s="9" t="s">
        <v>712</v>
      </c>
    </row>
    <row r="133" customFormat="false" ht="15" hidden="false" customHeight="false" outlineLevel="0" collapsed="false">
      <c r="A133" s="9" t="s">
        <v>21</v>
      </c>
      <c r="B133" s="10" t="s">
        <v>104</v>
      </c>
      <c r="C133" s="10" t="s">
        <v>306</v>
      </c>
      <c r="D133" s="10" t="s">
        <v>870</v>
      </c>
      <c r="E133" s="10" t="s">
        <v>707</v>
      </c>
      <c r="F133" s="10" t="s">
        <v>708</v>
      </c>
      <c r="G133" s="9" t="n">
        <v>151.2</v>
      </c>
      <c r="H133" s="10" t="s">
        <v>865</v>
      </c>
      <c r="I133" s="10" t="s">
        <v>710</v>
      </c>
    </row>
    <row r="134" customFormat="false" ht="15" hidden="false" customHeight="false" outlineLevel="0" collapsed="false">
      <c r="A134" s="9" t="s">
        <v>21</v>
      </c>
      <c r="B134" s="10" t="s">
        <v>104</v>
      </c>
      <c r="C134" s="10" t="s">
        <v>306</v>
      </c>
      <c r="D134" s="10" t="s">
        <v>871</v>
      </c>
      <c r="E134" s="10" t="s">
        <v>707</v>
      </c>
      <c r="F134" s="10" t="s">
        <v>708</v>
      </c>
      <c r="G134" s="9" t="n">
        <v>31.4</v>
      </c>
      <c r="H134" s="10" t="s">
        <v>872</v>
      </c>
      <c r="I134" s="10" t="s">
        <v>710</v>
      </c>
    </row>
    <row r="135" customFormat="false" ht="15" hidden="false" customHeight="false" outlineLevel="0" collapsed="false">
      <c r="A135" s="9" t="s">
        <v>21</v>
      </c>
      <c r="B135" s="10" t="s">
        <v>104</v>
      </c>
      <c r="C135" s="10" t="s">
        <v>306</v>
      </c>
      <c r="D135" s="10" t="s">
        <v>873</v>
      </c>
      <c r="E135" s="10" t="s">
        <v>707</v>
      </c>
      <c r="F135" s="10" t="s">
        <v>708</v>
      </c>
      <c r="G135" s="9" t="n">
        <v>850.5</v>
      </c>
      <c r="H135" s="10" t="s">
        <v>330</v>
      </c>
      <c r="I135" s="10" t="s">
        <v>710</v>
      </c>
    </row>
    <row r="136" customFormat="false" ht="15" hidden="false" customHeight="false" outlineLevel="0" collapsed="false">
      <c r="A136" s="9" t="s">
        <v>21</v>
      </c>
      <c r="B136" s="10" t="s">
        <v>104</v>
      </c>
      <c r="C136" s="10" t="s">
        <v>306</v>
      </c>
      <c r="D136" s="10" t="s">
        <v>874</v>
      </c>
      <c r="E136" s="10" t="s">
        <v>707</v>
      </c>
      <c r="F136" s="10" t="s">
        <v>708</v>
      </c>
      <c r="G136" s="9" t="n">
        <v>830.8</v>
      </c>
      <c r="H136" s="10" t="s">
        <v>337</v>
      </c>
      <c r="I136" s="10" t="s">
        <v>710</v>
      </c>
    </row>
    <row r="137" customFormat="false" ht="15" hidden="false" customHeight="false" outlineLevel="0" collapsed="false">
      <c r="A137" s="9" t="s">
        <v>21</v>
      </c>
      <c r="B137" s="10" t="s">
        <v>104</v>
      </c>
      <c r="C137" s="10" t="s">
        <v>306</v>
      </c>
      <c r="D137" s="10" t="s">
        <v>875</v>
      </c>
      <c r="E137" s="10" t="s">
        <v>707</v>
      </c>
      <c r="F137" s="10" t="s">
        <v>708</v>
      </c>
      <c r="G137" s="9" t="n">
        <v>169.6</v>
      </c>
      <c r="H137" s="10" t="s">
        <v>319</v>
      </c>
      <c r="I137" s="9" t="s">
        <v>712</v>
      </c>
    </row>
    <row r="138" customFormat="false" ht="15" hidden="false" customHeight="false" outlineLevel="0" collapsed="false">
      <c r="A138" s="9" t="s">
        <v>21</v>
      </c>
      <c r="B138" s="10" t="s">
        <v>104</v>
      </c>
      <c r="C138" s="10" t="s">
        <v>306</v>
      </c>
      <c r="D138" s="10" t="s">
        <v>876</v>
      </c>
      <c r="E138" s="10" t="s">
        <v>707</v>
      </c>
      <c r="F138" s="10" t="s">
        <v>708</v>
      </c>
      <c r="G138" s="9" t="n">
        <v>257.4</v>
      </c>
      <c r="H138" s="10" t="s">
        <v>335</v>
      </c>
      <c r="I138" s="9" t="s">
        <v>712</v>
      </c>
    </row>
    <row r="139" customFormat="false" ht="15" hidden="false" customHeight="false" outlineLevel="0" collapsed="false">
      <c r="A139" s="9" t="s">
        <v>21</v>
      </c>
      <c r="B139" s="10" t="s">
        <v>104</v>
      </c>
      <c r="C139" s="10" t="s">
        <v>306</v>
      </c>
      <c r="D139" s="10" t="s">
        <v>877</v>
      </c>
      <c r="E139" s="10" t="s">
        <v>707</v>
      </c>
      <c r="F139" s="10" t="s">
        <v>708</v>
      </c>
      <c r="G139" s="9" t="n">
        <v>256.5</v>
      </c>
      <c r="H139" s="10" t="s">
        <v>337</v>
      </c>
      <c r="I139" s="9" t="s">
        <v>712</v>
      </c>
    </row>
    <row r="140" customFormat="false" ht="15" hidden="false" customHeight="false" outlineLevel="0" collapsed="false">
      <c r="A140" s="9" t="s">
        <v>21</v>
      </c>
      <c r="B140" s="10" t="s">
        <v>104</v>
      </c>
      <c r="C140" s="10" t="s">
        <v>306</v>
      </c>
      <c r="D140" s="10" t="s">
        <v>878</v>
      </c>
      <c r="E140" s="10" t="s">
        <v>707</v>
      </c>
      <c r="F140" s="10" t="s">
        <v>708</v>
      </c>
      <c r="G140" s="9" t="n">
        <v>25.6</v>
      </c>
      <c r="H140" s="10" t="s">
        <v>339</v>
      </c>
      <c r="I140" s="9" t="s">
        <v>712</v>
      </c>
    </row>
    <row r="141" customFormat="false" ht="15" hidden="false" customHeight="false" outlineLevel="0" collapsed="false">
      <c r="A141" s="9" t="s">
        <v>21</v>
      </c>
      <c r="B141" s="10" t="s">
        <v>104</v>
      </c>
      <c r="C141" s="10" t="s">
        <v>306</v>
      </c>
      <c r="D141" s="10" t="s">
        <v>803</v>
      </c>
      <c r="E141" s="10" t="s">
        <v>707</v>
      </c>
      <c r="F141" s="10" t="s">
        <v>708</v>
      </c>
      <c r="G141" s="9" t="n">
        <v>258.8</v>
      </c>
      <c r="H141" s="10" t="s">
        <v>340</v>
      </c>
      <c r="I141" s="9" t="s">
        <v>712</v>
      </c>
    </row>
    <row r="142" customFormat="false" ht="15" hidden="false" customHeight="false" outlineLevel="0" collapsed="false">
      <c r="A142" s="9" t="s">
        <v>21</v>
      </c>
      <c r="B142" s="10" t="s">
        <v>104</v>
      </c>
      <c r="C142" s="10" t="s">
        <v>306</v>
      </c>
      <c r="D142" s="10" t="s">
        <v>879</v>
      </c>
      <c r="E142" s="10" t="s">
        <v>707</v>
      </c>
      <c r="F142" s="10" t="s">
        <v>708</v>
      </c>
      <c r="G142" s="9" t="n">
        <v>261.1</v>
      </c>
      <c r="H142" s="10" t="s">
        <v>342</v>
      </c>
      <c r="I142" s="9" t="s">
        <v>712</v>
      </c>
    </row>
    <row r="143" customFormat="false" ht="15" hidden="false" customHeight="false" outlineLevel="0" collapsed="false">
      <c r="A143" s="9" t="s">
        <v>21</v>
      </c>
      <c r="B143" s="10" t="s">
        <v>104</v>
      </c>
      <c r="C143" s="10" t="s">
        <v>306</v>
      </c>
      <c r="D143" s="10" t="s">
        <v>880</v>
      </c>
      <c r="E143" s="10" t="s">
        <v>707</v>
      </c>
      <c r="F143" s="10" t="s">
        <v>708</v>
      </c>
      <c r="G143" s="9" t="n">
        <v>255.1</v>
      </c>
      <c r="H143" s="10" t="s">
        <v>344</v>
      </c>
      <c r="I143" s="9" t="s">
        <v>712</v>
      </c>
    </row>
    <row r="144" customFormat="false" ht="15" hidden="false" customHeight="false" outlineLevel="0" collapsed="false">
      <c r="A144" s="9" t="s">
        <v>21</v>
      </c>
      <c r="B144" s="10" t="s">
        <v>104</v>
      </c>
      <c r="C144" s="10" t="s">
        <v>306</v>
      </c>
      <c r="D144" s="10" t="s">
        <v>881</v>
      </c>
      <c r="E144" s="10" t="s">
        <v>707</v>
      </c>
      <c r="F144" s="10" t="s">
        <v>708</v>
      </c>
      <c r="G144" s="9" t="n">
        <v>202.9</v>
      </c>
      <c r="H144" s="10" t="s">
        <v>882</v>
      </c>
      <c r="I144" s="10" t="s">
        <v>710</v>
      </c>
    </row>
    <row r="145" customFormat="false" ht="15" hidden="false" customHeight="false" outlineLevel="0" collapsed="false">
      <c r="A145" s="9" t="s">
        <v>21</v>
      </c>
      <c r="B145" s="10" t="s">
        <v>104</v>
      </c>
      <c r="C145" s="10" t="s">
        <v>306</v>
      </c>
      <c r="D145" s="10" t="s">
        <v>883</v>
      </c>
      <c r="E145" s="10" t="s">
        <v>707</v>
      </c>
      <c r="F145" s="10" t="s">
        <v>708</v>
      </c>
      <c r="G145" s="9" t="n">
        <v>3276.6</v>
      </c>
      <c r="H145" s="10" t="s">
        <v>346</v>
      </c>
      <c r="I145" s="9" t="s">
        <v>712</v>
      </c>
    </row>
    <row r="146" customFormat="false" ht="15" hidden="false" customHeight="false" outlineLevel="0" collapsed="false">
      <c r="A146" s="9" t="s">
        <v>21</v>
      </c>
      <c r="B146" s="10" t="s">
        <v>104</v>
      </c>
      <c r="C146" s="10" t="s">
        <v>306</v>
      </c>
      <c r="D146" s="10" t="s">
        <v>884</v>
      </c>
      <c r="E146" s="10" t="s">
        <v>707</v>
      </c>
      <c r="F146" s="10" t="s">
        <v>708</v>
      </c>
      <c r="G146" s="9" t="n">
        <v>320.5</v>
      </c>
      <c r="H146" s="10" t="s">
        <v>885</v>
      </c>
      <c r="I146" s="9" t="s">
        <v>712</v>
      </c>
    </row>
    <row r="147" customFormat="false" ht="15" hidden="false" customHeight="false" outlineLevel="0" collapsed="false">
      <c r="A147" s="9" t="s">
        <v>21</v>
      </c>
      <c r="B147" s="10" t="s">
        <v>104</v>
      </c>
      <c r="C147" s="10" t="s">
        <v>306</v>
      </c>
      <c r="D147" s="9" t="s">
        <v>886</v>
      </c>
      <c r="E147" s="10" t="s">
        <v>707</v>
      </c>
      <c r="F147" s="10" t="s">
        <v>708</v>
      </c>
      <c r="G147" s="9" t="n">
        <v>700.9</v>
      </c>
      <c r="H147" s="10" t="s">
        <v>350</v>
      </c>
      <c r="I147" s="9" t="s">
        <v>712</v>
      </c>
    </row>
    <row r="148" customFormat="false" ht="15" hidden="false" customHeight="false" outlineLevel="0" collapsed="false">
      <c r="A148" s="9" t="s">
        <v>21</v>
      </c>
      <c r="B148" s="10" t="s">
        <v>104</v>
      </c>
      <c r="C148" s="10" t="s">
        <v>306</v>
      </c>
      <c r="D148" s="9" t="s">
        <v>887</v>
      </c>
      <c r="E148" s="10" t="s">
        <v>707</v>
      </c>
      <c r="F148" s="10" t="s">
        <v>708</v>
      </c>
      <c r="G148" s="9" t="n">
        <v>149.2</v>
      </c>
      <c r="H148" s="10" t="s">
        <v>355</v>
      </c>
      <c r="I148" s="10" t="s">
        <v>710</v>
      </c>
    </row>
    <row r="149" customFormat="false" ht="15" hidden="false" customHeight="false" outlineLevel="0" collapsed="false">
      <c r="A149" s="9" t="s">
        <v>21</v>
      </c>
      <c r="B149" s="10" t="s">
        <v>104</v>
      </c>
      <c r="C149" s="10" t="s">
        <v>306</v>
      </c>
      <c r="D149" s="9" t="s">
        <v>888</v>
      </c>
      <c r="E149" s="10" t="s">
        <v>707</v>
      </c>
      <c r="F149" s="10" t="s">
        <v>708</v>
      </c>
      <c r="G149" s="9" t="n">
        <v>150.1</v>
      </c>
      <c r="H149" s="10" t="s">
        <v>425</v>
      </c>
      <c r="I149" s="10" t="s">
        <v>710</v>
      </c>
    </row>
    <row r="150" customFormat="false" ht="15" hidden="false" customHeight="false" outlineLevel="0" collapsed="false">
      <c r="A150" s="9" t="s">
        <v>22</v>
      </c>
      <c r="B150" s="10" t="s">
        <v>356</v>
      </c>
      <c r="C150" s="10" t="s">
        <v>357</v>
      </c>
      <c r="D150" s="10" t="s">
        <v>889</v>
      </c>
      <c r="E150" s="10" t="s">
        <v>707</v>
      </c>
      <c r="F150" s="10" t="s">
        <v>708</v>
      </c>
      <c r="G150" s="9" t="n">
        <v>23.9</v>
      </c>
      <c r="H150" s="10" t="s">
        <v>360</v>
      </c>
      <c r="I150" s="9" t="s">
        <v>712</v>
      </c>
    </row>
    <row r="151" customFormat="false" ht="15" hidden="false" customHeight="false" outlineLevel="0" collapsed="false">
      <c r="A151" s="9" t="s">
        <v>22</v>
      </c>
      <c r="B151" s="10" t="s">
        <v>356</v>
      </c>
      <c r="C151" s="10" t="s">
        <v>357</v>
      </c>
      <c r="D151" s="10" t="s">
        <v>890</v>
      </c>
      <c r="E151" s="10" t="s">
        <v>707</v>
      </c>
      <c r="F151" s="10" t="s">
        <v>708</v>
      </c>
      <c r="G151" s="9" t="n">
        <v>101.7</v>
      </c>
      <c r="H151" s="10" t="s">
        <v>175</v>
      </c>
      <c r="I151" s="10" t="s">
        <v>710</v>
      </c>
    </row>
    <row r="152" customFormat="false" ht="15" hidden="false" customHeight="false" outlineLevel="0" collapsed="false">
      <c r="A152" s="9" t="s">
        <v>22</v>
      </c>
      <c r="B152" s="10" t="s">
        <v>356</v>
      </c>
      <c r="C152" s="10" t="s">
        <v>357</v>
      </c>
      <c r="D152" s="10" t="s">
        <v>891</v>
      </c>
      <c r="E152" s="10" t="s">
        <v>707</v>
      </c>
      <c r="F152" s="10" t="s">
        <v>708</v>
      </c>
      <c r="G152" s="9" t="n">
        <v>519.7</v>
      </c>
      <c r="H152" s="10" t="s">
        <v>892</v>
      </c>
      <c r="I152" s="10" t="s">
        <v>710</v>
      </c>
    </row>
    <row r="153" customFormat="false" ht="15" hidden="false" customHeight="false" outlineLevel="0" collapsed="false">
      <c r="A153" s="9" t="s">
        <v>22</v>
      </c>
      <c r="B153" s="10" t="s">
        <v>356</v>
      </c>
      <c r="C153" s="10" t="s">
        <v>357</v>
      </c>
      <c r="D153" s="10" t="s">
        <v>893</v>
      </c>
      <c r="E153" s="10" t="s">
        <v>707</v>
      </c>
      <c r="F153" s="10" t="s">
        <v>708</v>
      </c>
      <c r="G153" s="9" t="n">
        <v>266.3</v>
      </c>
      <c r="H153" s="10" t="s">
        <v>894</v>
      </c>
      <c r="I153" s="9" t="s">
        <v>712</v>
      </c>
    </row>
    <row r="154" customFormat="false" ht="15" hidden="false" customHeight="false" outlineLevel="0" collapsed="false">
      <c r="A154" s="9" t="s">
        <v>22</v>
      </c>
      <c r="B154" s="10" t="s">
        <v>356</v>
      </c>
      <c r="C154" s="10" t="s">
        <v>357</v>
      </c>
      <c r="D154" s="10" t="s">
        <v>895</v>
      </c>
      <c r="E154" s="10" t="s">
        <v>707</v>
      </c>
      <c r="F154" s="10" t="s">
        <v>708</v>
      </c>
      <c r="G154" s="9" t="n">
        <v>101.8</v>
      </c>
      <c r="H154" s="10" t="s">
        <v>894</v>
      </c>
      <c r="I154" s="9" t="s">
        <v>712</v>
      </c>
    </row>
    <row r="155" customFormat="false" ht="15" hidden="false" customHeight="false" outlineLevel="0" collapsed="false">
      <c r="A155" s="9" t="s">
        <v>22</v>
      </c>
      <c r="B155" s="10" t="s">
        <v>356</v>
      </c>
      <c r="C155" s="10" t="s">
        <v>357</v>
      </c>
      <c r="D155" s="10" t="s">
        <v>896</v>
      </c>
      <c r="E155" s="10" t="s">
        <v>707</v>
      </c>
      <c r="F155" s="10" t="s">
        <v>708</v>
      </c>
      <c r="G155" s="9" t="n">
        <v>266.3</v>
      </c>
      <c r="H155" s="10" t="s">
        <v>894</v>
      </c>
      <c r="I155" s="9" t="s">
        <v>712</v>
      </c>
    </row>
    <row r="156" customFormat="false" ht="15" hidden="false" customHeight="false" outlineLevel="0" collapsed="false">
      <c r="A156" s="9" t="s">
        <v>22</v>
      </c>
      <c r="B156" s="10" t="s">
        <v>280</v>
      </c>
      <c r="C156" s="10" t="s">
        <v>366</v>
      </c>
      <c r="D156" s="10" t="s">
        <v>897</v>
      </c>
      <c r="E156" s="10" t="s">
        <v>707</v>
      </c>
      <c r="F156" s="10" t="s">
        <v>708</v>
      </c>
      <c r="G156" s="9" t="n">
        <v>506.5</v>
      </c>
      <c r="H156" s="10" t="s">
        <v>292</v>
      </c>
      <c r="I156" s="9" t="s">
        <v>712</v>
      </c>
    </row>
    <row r="157" customFormat="false" ht="15" hidden="false" customHeight="false" outlineLevel="0" collapsed="false">
      <c r="A157" s="9" t="s">
        <v>22</v>
      </c>
      <c r="B157" s="10" t="s">
        <v>90</v>
      </c>
      <c r="C157" s="10" t="s">
        <v>371</v>
      </c>
      <c r="D157" s="10" t="s">
        <v>809</v>
      </c>
      <c r="E157" s="10" t="s">
        <v>707</v>
      </c>
      <c r="F157" s="10" t="s">
        <v>708</v>
      </c>
      <c r="G157" s="9" t="n">
        <v>1903</v>
      </c>
      <c r="H157" s="10" t="s">
        <v>390</v>
      </c>
      <c r="I157" s="10" t="s">
        <v>710</v>
      </c>
    </row>
    <row r="158" customFormat="false" ht="15" hidden="false" customHeight="false" outlineLevel="0" collapsed="false">
      <c r="A158" s="9" t="s">
        <v>22</v>
      </c>
      <c r="B158" s="10" t="s">
        <v>90</v>
      </c>
      <c r="C158" s="10" t="s">
        <v>371</v>
      </c>
      <c r="D158" s="10" t="s">
        <v>898</v>
      </c>
      <c r="E158" s="10" t="s">
        <v>707</v>
      </c>
      <c r="F158" s="10" t="s">
        <v>708</v>
      </c>
      <c r="G158" s="9" t="n">
        <v>4113.5</v>
      </c>
      <c r="H158" s="10" t="s">
        <v>373</v>
      </c>
      <c r="I158" s="10" t="s">
        <v>710</v>
      </c>
    </row>
    <row r="159" customFormat="false" ht="15" hidden="false" customHeight="false" outlineLevel="0" collapsed="false">
      <c r="A159" s="9" t="s">
        <v>22</v>
      </c>
      <c r="B159" s="10" t="s">
        <v>90</v>
      </c>
      <c r="C159" s="10" t="s">
        <v>371</v>
      </c>
      <c r="D159" s="10" t="s">
        <v>899</v>
      </c>
      <c r="E159" s="10" t="s">
        <v>707</v>
      </c>
      <c r="F159" s="10" t="s">
        <v>708</v>
      </c>
      <c r="G159" s="9" t="n">
        <v>2145.2</v>
      </c>
      <c r="H159" s="10" t="s">
        <v>373</v>
      </c>
      <c r="I159" s="9" t="s">
        <v>712</v>
      </c>
    </row>
    <row r="160" customFormat="false" ht="15" hidden="false" customHeight="false" outlineLevel="0" collapsed="false">
      <c r="A160" s="9" t="s">
        <v>22</v>
      </c>
      <c r="B160" s="10" t="s">
        <v>90</v>
      </c>
      <c r="C160" s="10" t="s">
        <v>371</v>
      </c>
      <c r="D160" s="10" t="s">
        <v>900</v>
      </c>
      <c r="E160" s="10" t="s">
        <v>707</v>
      </c>
      <c r="F160" s="10" t="s">
        <v>708</v>
      </c>
      <c r="G160" s="9" t="n">
        <v>2826.2</v>
      </c>
      <c r="H160" s="10" t="s">
        <v>376</v>
      </c>
      <c r="I160" s="10" t="s">
        <v>710</v>
      </c>
    </row>
    <row r="161" customFormat="false" ht="15" hidden="false" customHeight="false" outlineLevel="0" collapsed="false">
      <c r="A161" s="9" t="s">
        <v>22</v>
      </c>
      <c r="B161" s="10" t="s">
        <v>90</v>
      </c>
      <c r="C161" s="10" t="s">
        <v>371</v>
      </c>
      <c r="D161" s="10" t="s">
        <v>901</v>
      </c>
      <c r="E161" s="10" t="s">
        <v>707</v>
      </c>
      <c r="F161" s="10" t="s">
        <v>708</v>
      </c>
      <c r="G161" s="9" t="n">
        <v>1856.2</v>
      </c>
      <c r="H161" s="10" t="s">
        <v>397</v>
      </c>
      <c r="I161" s="9" t="s">
        <v>712</v>
      </c>
    </row>
    <row r="162" customFormat="false" ht="15" hidden="false" customHeight="false" outlineLevel="0" collapsed="false">
      <c r="A162" s="9" t="s">
        <v>22</v>
      </c>
      <c r="B162" s="10" t="s">
        <v>90</v>
      </c>
      <c r="C162" s="10" t="s">
        <v>371</v>
      </c>
      <c r="D162" s="10" t="s">
        <v>902</v>
      </c>
      <c r="E162" s="10" t="s">
        <v>707</v>
      </c>
      <c r="F162" s="10" t="s">
        <v>708</v>
      </c>
      <c r="G162" s="9" t="n">
        <v>1412.1</v>
      </c>
      <c r="H162" s="10" t="s">
        <v>378</v>
      </c>
      <c r="I162" s="9" t="s">
        <v>712</v>
      </c>
    </row>
    <row r="163" customFormat="false" ht="15" hidden="false" customHeight="false" outlineLevel="0" collapsed="false">
      <c r="A163" s="9" t="s">
        <v>22</v>
      </c>
      <c r="B163" s="10" t="s">
        <v>90</v>
      </c>
      <c r="C163" s="10" t="s">
        <v>371</v>
      </c>
      <c r="D163" s="10" t="s">
        <v>903</v>
      </c>
      <c r="E163" s="10" t="s">
        <v>707</v>
      </c>
      <c r="F163" s="10" t="s">
        <v>708</v>
      </c>
      <c r="G163" s="9" t="n">
        <v>63.5</v>
      </c>
      <c r="H163" s="10" t="s">
        <v>376</v>
      </c>
      <c r="I163" s="9" t="s">
        <v>712</v>
      </c>
    </row>
    <row r="164" customFormat="false" ht="15" hidden="false" customHeight="false" outlineLevel="0" collapsed="false">
      <c r="A164" s="9" t="s">
        <v>22</v>
      </c>
      <c r="B164" s="10" t="s">
        <v>90</v>
      </c>
      <c r="C164" s="10" t="s">
        <v>371</v>
      </c>
      <c r="D164" s="10" t="s">
        <v>904</v>
      </c>
      <c r="E164" s="10" t="s">
        <v>707</v>
      </c>
      <c r="F164" s="10" t="s">
        <v>708</v>
      </c>
      <c r="G164" s="9" t="n">
        <v>344.8</v>
      </c>
      <c r="H164" s="10" t="s">
        <v>378</v>
      </c>
      <c r="I164" s="9" t="s">
        <v>712</v>
      </c>
    </row>
    <row r="165" customFormat="false" ht="15" hidden="false" customHeight="false" outlineLevel="0" collapsed="false">
      <c r="A165" s="9" t="s">
        <v>22</v>
      </c>
      <c r="B165" s="10" t="s">
        <v>90</v>
      </c>
      <c r="C165" s="10" t="s">
        <v>371</v>
      </c>
      <c r="D165" s="10" t="s">
        <v>905</v>
      </c>
      <c r="E165" s="10" t="s">
        <v>707</v>
      </c>
      <c r="F165" s="10" t="s">
        <v>708</v>
      </c>
      <c r="G165" s="9" t="n">
        <v>89.1</v>
      </c>
      <c r="H165" s="10" t="s">
        <v>98</v>
      </c>
      <c r="I165" s="10" t="s">
        <v>710</v>
      </c>
    </row>
    <row r="166" customFormat="false" ht="15" hidden="false" customHeight="false" outlineLevel="0" collapsed="false">
      <c r="A166" s="9" t="s">
        <v>22</v>
      </c>
      <c r="B166" s="10" t="s">
        <v>90</v>
      </c>
      <c r="C166" s="10" t="s">
        <v>371</v>
      </c>
      <c r="D166" s="10" t="s">
        <v>906</v>
      </c>
      <c r="E166" s="10" t="s">
        <v>707</v>
      </c>
      <c r="F166" s="10" t="s">
        <v>708</v>
      </c>
      <c r="G166" s="9" t="n">
        <v>589.2</v>
      </c>
      <c r="H166" s="10" t="s">
        <v>373</v>
      </c>
      <c r="I166" s="9" t="s">
        <v>712</v>
      </c>
    </row>
    <row r="167" customFormat="false" ht="15" hidden="false" customHeight="false" outlineLevel="0" collapsed="false">
      <c r="A167" s="9" t="s">
        <v>22</v>
      </c>
      <c r="B167" s="10" t="s">
        <v>90</v>
      </c>
      <c r="C167" s="10" t="s">
        <v>371</v>
      </c>
      <c r="D167" s="10" t="s">
        <v>907</v>
      </c>
      <c r="E167" s="10" t="s">
        <v>707</v>
      </c>
      <c r="F167" s="10" t="s">
        <v>708</v>
      </c>
      <c r="G167" s="9" t="n">
        <v>2113.3</v>
      </c>
      <c r="H167" s="10" t="s">
        <v>373</v>
      </c>
      <c r="I167" s="9" t="s">
        <v>712</v>
      </c>
    </row>
    <row r="168" customFormat="false" ht="15" hidden="false" customHeight="false" outlineLevel="0" collapsed="false">
      <c r="A168" s="9" t="s">
        <v>22</v>
      </c>
      <c r="B168" s="10" t="s">
        <v>90</v>
      </c>
      <c r="C168" s="10" t="s">
        <v>371</v>
      </c>
      <c r="D168" s="10" t="s">
        <v>908</v>
      </c>
      <c r="E168" s="10" t="s">
        <v>707</v>
      </c>
      <c r="F168" s="10" t="s">
        <v>708</v>
      </c>
      <c r="G168" s="9" t="n">
        <v>1676.6</v>
      </c>
      <c r="H168" s="10" t="s">
        <v>390</v>
      </c>
      <c r="I168" s="10" t="s">
        <v>710</v>
      </c>
    </row>
    <row r="169" customFormat="false" ht="15" hidden="false" customHeight="false" outlineLevel="0" collapsed="false">
      <c r="A169" s="9" t="s">
        <v>22</v>
      </c>
      <c r="B169" s="10" t="s">
        <v>90</v>
      </c>
      <c r="C169" s="10" t="s">
        <v>371</v>
      </c>
      <c r="D169" s="10" t="s">
        <v>909</v>
      </c>
      <c r="E169" s="10" t="s">
        <v>707</v>
      </c>
      <c r="F169" s="10" t="s">
        <v>708</v>
      </c>
      <c r="G169" s="9" t="n">
        <v>938.8</v>
      </c>
      <c r="H169" s="10" t="s">
        <v>390</v>
      </c>
      <c r="I169" s="9" t="s">
        <v>712</v>
      </c>
    </row>
    <row r="170" customFormat="false" ht="15" hidden="false" customHeight="false" outlineLevel="0" collapsed="false">
      <c r="A170" s="9" t="s">
        <v>22</v>
      </c>
      <c r="B170" s="10" t="s">
        <v>90</v>
      </c>
      <c r="C170" s="10" t="s">
        <v>371</v>
      </c>
      <c r="D170" s="10" t="s">
        <v>910</v>
      </c>
      <c r="E170" s="10" t="s">
        <v>707</v>
      </c>
      <c r="F170" s="10" t="s">
        <v>708</v>
      </c>
      <c r="G170" s="9" t="n">
        <v>1193.4</v>
      </c>
      <c r="H170" s="10" t="s">
        <v>373</v>
      </c>
      <c r="I170" s="9" t="s">
        <v>712</v>
      </c>
    </row>
    <row r="171" customFormat="false" ht="15" hidden="false" customHeight="false" outlineLevel="0" collapsed="false">
      <c r="A171" s="9" t="s">
        <v>22</v>
      </c>
      <c r="B171" s="10" t="s">
        <v>90</v>
      </c>
      <c r="C171" s="10" t="s">
        <v>371</v>
      </c>
      <c r="D171" s="10" t="s">
        <v>911</v>
      </c>
      <c r="E171" s="10" t="s">
        <v>707</v>
      </c>
      <c r="F171" s="10" t="s">
        <v>708</v>
      </c>
      <c r="G171" s="9" t="n">
        <v>962.3</v>
      </c>
      <c r="H171" s="10" t="s">
        <v>390</v>
      </c>
      <c r="I171" s="10" t="s">
        <v>710</v>
      </c>
    </row>
    <row r="172" customFormat="false" ht="15" hidden="false" customHeight="false" outlineLevel="0" collapsed="false">
      <c r="A172" s="9" t="s">
        <v>22</v>
      </c>
      <c r="B172" s="10" t="s">
        <v>90</v>
      </c>
      <c r="C172" s="10" t="s">
        <v>371</v>
      </c>
      <c r="D172" s="10" t="s">
        <v>912</v>
      </c>
      <c r="E172" s="10" t="s">
        <v>707</v>
      </c>
      <c r="F172" s="10" t="s">
        <v>708</v>
      </c>
      <c r="G172" s="9" t="n">
        <v>783.4</v>
      </c>
      <c r="H172" s="10" t="s">
        <v>390</v>
      </c>
      <c r="I172" s="10" t="s">
        <v>710</v>
      </c>
    </row>
    <row r="173" customFormat="false" ht="15" hidden="false" customHeight="false" outlineLevel="0" collapsed="false">
      <c r="A173" s="9" t="s">
        <v>22</v>
      </c>
      <c r="B173" s="10" t="s">
        <v>90</v>
      </c>
      <c r="C173" s="10" t="s">
        <v>371</v>
      </c>
      <c r="D173" s="9" t="s">
        <v>913</v>
      </c>
      <c r="E173" s="10" t="s">
        <v>707</v>
      </c>
      <c r="F173" s="10" t="s">
        <v>708</v>
      </c>
      <c r="G173" s="9" t="n">
        <v>1837.6</v>
      </c>
      <c r="H173" s="10" t="s">
        <v>397</v>
      </c>
      <c r="I173" s="9" t="s">
        <v>712</v>
      </c>
    </row>
    <row r="174" customFormat="false" ht="15" hidden="false" customHeight="false" outlineLevel="0" collapsed="false">
      <c r="A174" s="9" t="s">
        <v>22</v>
      </c>
      <c r="B174" s="10" t="s">
        <v>398</v>
      </c>
      <c r="C174" s="10" t="s">
        <v>399</v>
      </c>
      <c r="D174" s="10" t="s">
        <v>914</v>
      </c>
      <c r="E174" s="10" t="s">
        <v>707</v>
      </c>
      <c r="F174" s="10" t="s">
        <v>708</v>
      </c>
      <c r="G174" s="9" t="n">
        <v>358.6</v>
      </c>
      <c r="H174" s="10" t="s">
        <v>401</v>
      </c>
      <c r="I174" s="9" t="s">
        <v>712</v>
      </c>
    </row>
    <row r="175" customFormat="false" ht="15" hidden="false" customHeight="false" outlineLevel="0" collapsed="false">
      <c r="A175" s="9" t="s">
        <v>23</v>
      </c>
      <c r="B175" s="10" t="s">
        <v>65</v>
      </c>
      <c r="C175" s="10" t="s">
        <v>410</v>
      </c>
      <c r="D175" s="10" t="s">
        <v>915</v>
      </c>
      <c r="E175" s="10" t="s">
        <v>707</v>
      </c>
      <c r="F175" s="10" t="s">
        <v>708</v>
      </c>
      <c r="G175" s="9" t="n">
        <v>28.5</v>
      </c>
      <c r="H175" s="10" t="s">
        <v>412</v>
      </c>
      <c r="I175" s="9" t="s">
        <v>712</v>
      </c>
    </row>
    <row r="176" customFormat="false" ht="15" hidden="false" customHeight="false" outlineLevel="0" collapsed="false">
      <c r="A176" s="9" t="s">
        <v>23</v>
      </c>
      <c r="B176" s="10" t="s">
        <v>65</v>
      </c>
      <c r="C176" s="10" t="s">
        <v>66</v>
      </c>
      <c r="D176" s="10" t="s">
        <v>916</v>
      </c>
      <c r="E176" s="10" t="s">
        <v>707</v>
      </c>
      <c r="F176" s="10" t="s">
        <v>708</v>
      </c>
      <c r="G176" s="9" t="n">
        <v>30.7</v>
      </c>
      <c r="H176" s="10" t="s">
        <v>414</v>
      </c>
      <c r="I176" s="9" t="s">
        <v>712</v>
      </c>
    </row>
    <row r="177" customFormat="false" ht="15" hidden="false" customHeight="false" outlineLevel="0" collapsed="false">
      <c r="A177" s="9" t="s">
        <v>23</v>
      </c>
      <c r="B177" s="10" t="s">
        <v>69</v>
      </c>
      <c r="C177" s="10" t="s">
        <v>70</v>
      </c>
      <c r="D177" s="10" t="s">
        <v>917</v>
      </c>
      <c r="E177" s="10" t="s">
        <v>707</v>
      </c>
      <c r="F177" s="10" t="s">
        <v>708</v>
      </c>
      <c r="G177" s="9" t="n">
        <v>27.1</v>
      </c>
      <c r="H177" s="10" t="s">
        <v>420</v>
      </c>
      <c r="I177" s="9" t="s">
        <v>712</v>
      </c>
    </row>
    <row r="178" customFormat="false" ht="15" hidden="false" customHeight="false" outlineLevel="0" collapsed="false">
      <c r="A178" s="9" t="s">
        <v>23</v>
      </c>
      <c r="B178" s="10" t="s">
        <v>69</v>
      </c>
      <c r="C178" s="10" t="s">
        <v>70</v>
      </c>
      <c r="D178" s="9" t="s">
        <v>918</v>
      </c>
      <c r="E178" s="10" t="s">
        <v>707</v>
      </c>
      <c r="F178" s="10" t="s">
        <v>708</v>
      </c>
      <c r="G178" s="9" t="n">
        <v>925.9</v>
      </c>
      <c r="H178" s="10" t="s">
        <v>422</v>
      </c>
      <c r="I178" s="10" t="s">
        <v>710</v>
      </c>
    </row>
    <row r="179" customFormat="false" ht="15" hidden="false" customHeight="false" outlineLevel="0" collapsed="false">
      <c r="A179" s="9" t="s">
        <v>23</v>
      </c>
      <c r="B179" s="10" t="s">
        <v>69</v>
      </c>
      <c r="C179" s="10" t="s">
        <v>70</v>
      </c>
      <c r="D179" s="9" t="s">
        <v>919</v>
      </c>
      <c r="E179" s="10" t="s">
        <v>707</v>
      </c>
      <c r="F179" s="10" t="s">
        <v>708</v>
      </c>
      <c r="G179" s="9" t="n">
        <v>244.5</v>
      </c>
      <c r="H179" s="10" t="s">
        <v>422</v>
      </c>
      <c r="I179" s="9" t="s">
        <v>712</v>
      </c>
    </row>
    <row r="180" customFormat="false" ht="15" hidden="false" customHeight="false" outlineLevel="0" collapsed="false">
      <c r="A180" s="9" t="s">
        <v>23</v>
      </c>
      <c r="B180" s="10" t="s">
        <v>69</v>
      </c>
      <c r="C180" s="10" t="s">
        <v>70</v>
      </c>
      <c r="D180" s="9" t="s">
        <v>920</v>
      </c>
      <c r="E180" s="10" t="s">
        <v>707</v>
      </c>
      <c r="F180" s="10" t="s">
        <v>708</v>
      </c>
      <c r="G180" s="9" t="n">
        <v>230.3</v>
      </c>
      <c r="H180" s="10" t="s">
        <v>422</v>
      </c>
      <c r="I180" s="9" t="s">
        <v>712</v>
      </c>
    </row>
    <row r="181" customFormat="false" ht="15" hidden="false" customHeight="false" outlineLevel="0" collapsed="false">
      <c r="A181" s="9" t="s">
        <v>23</v>
      </c>
      <c r="B181" s="10" t="s">
        <v>104</v>
      </c>
      <c r="C181" s="10" t="s">
        <v>105</v>
      </c>
      <c r="D181" s="10" t="s">
        <v>921</v>
      </c>
      <c r="E181" s="10" t="s">
        <v>707</v>
      </c>
      <c r="F181" s="10" t="s">
        <v>708</v>
      </c>
      <c r="G181" s="9" t="n">
        <v>25.7</v>
      </c>
      <c r="H181" s="10" t="s">
        <v>425</v>
      </c>
      <c r="I181" s="9" t="s">
        <v>712</v>
      </c>
    </row>
    <row r="182" customFormat="false" ht="15" hidden="false" customHeight="false" outlineLevel="0" collapsed="false">
      <c r="A182" s="9" t="s">
        <v>24</v>
      </c>
      <c r="B182" s="10" t="s">
        <v>90</v>
      </c>
      <c r="C182" s="10" t="s">
        <v>431</v>
      </c>
      <c r="D182" s="10" t="s">
        <v>922</v>
      </c>
      <c r="E182" s="10" t="s">
        <v>707</v>
      </c>
      <c r="F182" s="10" t="s">
        <v>708</v>
      </c>
      <c r="G182" s="9" t="n">
        <v>84.2</v>
      </c>
      <c r="H182" s="10" t="s">
        <v>450</v>
      </c>
      <c r="I182" s="9" t="s">
        <v>712</v>
      </c>
    </row>
    <row r="183" customFormat="false" ht="15" hidden="false" customHeight="false" outlineLevel="0" collapsed="false">
      <c r="A183" s="9" t="s">
        <v>24</v>
      </c>
      <c r="B183" s="10" t="s">
        <v>90</v>
      </c>
      <c r="C183" s="10" t="s">
        <v>431</v>
      </c>
      <c r="D183" s="10" t="s">
        <v>923</v>
      </c>
      <c r="E183" s="10" t="s">
        <v>707</v>
      </c>
      <c r="F183" s="10" t="s">
        <v>708</v>
      </c>
      <c r="G183" s="9" t="n">
        <v>491.6</v>
      </c>
      <c r="H183" s="10" t="s">
        <v>436</v>
      </c>
      <c r="I183" s="9" t="s">
        <v>712</v>
      </c>
    </row>
    <row r="184" customFormat="false" ht="15" hidden="false" customHeight="false" outlineLevel="0" collapsed="false">
      <c r="A184" s="9" t="s">
        <v>24</v>
      </c>
      <c r="B184" s="10" t="s">
        <v>90</v>
      </c>
      <c r="C184" s="10" t="s">
        <v>431</v>
      </c>
      <c r="D184" s="9" t="s">
        <v>924</v>
      </c>
      <c r="E184" s="10" t="s">
        <v>707</v>
      </c>
      <c r="F184" s="10" t="s">
        <v>708</v>
      </c>
      <c r="G184" s="9" t="n">
        <v>50625</v>
      </c>
      <c r="H184" s="10" t="s">
        <v>442</v>
      </c>
      <c r="I184" s="9" t="s">
        <v>712</v>
      </c>
    </row>
    <row r="185" customFormat="false" ht="15" hidden="false" customHeight="false" outlineLevel="0" collapsed="false">
      <c r="A185" s="9" t="s">
        <v>24</v>
      </c>
      <c r="B185" s="10" t="s">
        <v>90</v>
      </c>
      <c r="C185" s="10" t="s">
        <v>431</v>
      </c>
      <c r="D185" s="9" t="s">
        <v>925</v>
      </c>
      <c r="E185" s="10" t="s">
        <v>707</v>
      </c>
      <c r="F185" s="9" t="s">
        <v>368</v>
      </c>
      <c r="G185" s="9" t="n">
        <v>0</v>
      </c>
      <c r="H185" s="10" t="s">
        <v>344</v>
      </c>
      <c r="I185" s="10" t="s">
        <v>710</v>
      </c>
    </row>
    <row r="186" customFormat="false" ht="15" hidden="false" customHeight="false" outlineLevel="0" collapsed="false">
      <c r="A186" s="9" t="s">
        <v>24</v>
      </c>
      <c r="B186" s="10" t="s">
        <v>90</v>
      </c>
      <c r="C186" s="10" t="s">
        <v>444</v>
      </c>
      <c r="D186" s="10" t="s">
        <v>926</v>
      </c>
      <c r="E186" s="10" t="s">
        <v>707</v>
      </c>
      <c r="F186" s="10" t="s">
        <v>708</v>
      </c>
      <c r="G186" s="9" t="n">
        <v>100.1</v>
      </c>
      <c r="H186" s="10" t="s">
        <v>344</v>
      </c>
      <c r="I186" s="10" t="s">
        <v>710</v>
      </c>
    </row>
    <row r="187" customFormat="false" ht="15" hidden="false" customHeight="false" outlineLevel="0" collapsed="false">
      <c r="A187" s="9" t="s">
        <v>24</v>
      </c>
      <c r="B187" s="10" t="s">
        <v>90</v>
      </c>
      <c r="C187" s="10" t="s">
        <v>444</v>
      </c>
      <c r="D187" s="10" t="s">
        <v>927</v>
      </c>
      <c r="E187" s="10" t="s">
        <v>707</v>
      </c>
      <c r="F187" s="10" t="s">
        <v>708</v>
      </c>
      <c r="G187" s="9" t="n">
        <v>1669.9</v>
      </c>
      <c r="H187" s="10" t="s">
        <v>446</v>
      </c>
      <c r="I187" s="9" t="s">
        <v>712</v>
      </c>
    </row>
    <row r="188" customFormat="false" ht="15" hidden="false" customHeight="false" outlineLevel="0" collapsed="false">
      <c r="A188" s="9" t="s">
        <v>24</v>
      </c>
      <c r="B188" s="10" t="s">
        <v>90</v>
      </c>
      <c r="C188" s="10" t="s">
        <v>444</v>
      </c>
      <c r="D188" s="10" t="s">
        <v>928</v>
      </c>
      <c r="E188" s="10" t="s">
        <v>707</v>
      </c>
      <c r="F188" s="10" t="s">
        <v>708</v>
      </c>
      <c r="G188" s="9" t="n">
        <v>1687.8</v>
      </c>
      <c r="H188" s="10" t="s">
        <v>446</v>
      </c>
      <c r="I188" s="9" t="s">
        <v>712</v>
      </c>
    </row>
    <row r="189" customFormat="false" ht="15" hidden="false" customHeight="false" outlineLevel="0" collapsed="false">
      <c r="A189" s="9" t="s">
        <v>24</v>
      </c>
      <c r="B189" s="10" t="s">
        <v>90</v>
      </c>
      <c r="C189" s="10" t="s">
        <v>444</v>
      </c>
      <c r="D189" s="10" t="s">
        <v>929</v>
      </c>
      <c r="E189" s="10" t="s">
        <v>707</v>
      </c>
      <c r="F189" s="10" t="s">
        <v>708</v>
      </c>
      <c r="G189" s="9" t="n">
        <v>1688.3</v>
      </c>
      <c r="H189" s="10" t="s">
        <v>446</v>
      </c>
      <c r="I189" s="9" t="s">
        <v>712</v>
      </c>
    </row>
    <row r="190" customFormat="false" ht="15" hidden="false" customHeight="false" outlineLevel="0" collapsed="false">
      <c r="A190" s="9" t="s">
        <v>24</v>
      </c>
      <c r="B190" s="10" t="s">
        <v>90</v>
      </c>
      <c r="C190" s="10" t="s">
        <v>444</v>
      </c>
      <c r="D190" s="10" t="s">
        <v>930</v>
      </c>
      <c r="E190" s="10" t="s">
        <v>707</v>
      </c>
      <c r="F190" s="10" t="s">
        <v>708</v>
      </c>
      <c r="G190" s="9" t="n">
        <v>1659.2</v>
      </c>
      <c r="H190" s="10" t="s">
        <v>450</v>
      </c>
      <c r="I190" s="10" t="s">
        <v>710</v>
      </c>
    </row>
    <row r="191" customFormat="false" ht="15" hidden="false" customHeight="false" outlineLevel="0" collapsed="false">
      <c r="A191" s="9" t="s">
        <v>24</v>
      </c>
      <c r="B191" s="10" t="s">
        <v>90</v>
      </c>
      <c r="C191" s="10" t="s">
        <v>444</v>
      </c>
      <c r="D191" s="10" t="s">
        <v>931</v>
      </c>
      <c r="E191" s="10" t="s">
        <v>707</v>
      </c>
      <c r="F191" s="10" t="s">
        <v>708</v>
      </c>
      <c r="G191" s="9" t="n">
        <v>38.2</v>
      </c>
      <c r="H191" s="10" t="s">
        <v>932</v>
      </c>
      <c r="I191" s="10" t="s">
        <v>710</v>
      </c>
    </row>
    <row r="192" customFormat="false" ht="15" hidden="false" customHeight="false" outlineLevel="0" collapsed="false">
      <c r="A192" s="9" t="s">
        <v>24</v>
      </c>
      <c r="B192" s="10" t="s">
        <v>90</v>
      </c>
      <c r="C192" s="10" t="s">
        <v>444</v>
      </c>
      <c r="D192" s="10" t="s">
        <v>933</v>
      </c>
      <c r="E192" s="10" t="s">
        <v>707</v>
      </c>
      <c r="F192" s="10" t="s">
        <v>708</v>
      </c>
      <c r="G192" s="9" t="n">
        <v>1659.4</v>
      </c>
      <c r="H192" s="10" t="s">
        <v>452</v>
      </c>
      <c r="I192" s="10" t="s">
        <v>710</v>
      </c>
    </row>
    <row r="193" customFormat="false" ht="15" hidden="false" customHeight="false" outlineLevel="0" collapsed="false">
      <c r="A193" s="9" t="s">
        <v>24</v>
      </c>
      <c r="B193" s="10" t="s">
        <v>90</v>
      </c>
      <c r="C193" s="10" t="s">
        <v>444</v>
      </c>
      <c r="D193" s="10" t="s">
        <v>934</v>
      </c>
      <c r="E193" s="10" t="s">
        <v>707</v>
      </c>
      <c r="F193" s="10" t="s">
        <v>708</v>
      </c>
      <c r="G193" s="9" t="n">
        <v>1657.8</v>
      </c>
      <c r="H193" s="10" t="s">
        <v>344</v>
      </c>
      <c r="I193" s="9" t="s">
        <v>712</v>
      </c>
    </row>
    <row r="194" customFormat="false" ht="15" hidden="false" customHeight="false" outlineLevel="0" collapsed="false">
      <c r="A194" s="9" t="s">
        <v>24</v>
      </c>
      <c r="B194" s="10" t="s">
        <v>90</v>
      </c>
      <c r="C194" s="10" t="s">
        <v>444</v>
      </c>
      <c r="D194" s="9" t="s">
        <v>935</v>
      </c>
      <c r="E194" s="10" t="s">
        <v>707</v>
      </c>
      <c r="F194" s="10" t="s">
        <v>708</v>
      </c>
      <c r="G194" s="9" t="n">
        <v>10749.8</v>
      </c>
      <c r="H194" s="10" t="s">
        <v>344</v>
      </c>
      <c r="I194" s="10" t="s">
        <v>710</v>
      </c>
    </row>
    <row r="195" customFormat="false" ht="15" hidden="false" customHeight="false" outlineLevel="0" collapsed="false">
      <c r="A195" s="9" t="s">
        <v>24</v>
      </c>
      <c r="B195" s="10" t="s">
        <v>90</v>
      </c>
      <c r="C195" s="10" t="s">
        <v>444</v>
      </c>
      <c r="D195" s="9" t="s">
        <v>936</v>
      </c>
      <c r="E195" s="10" t="s">
        <v>707</v>
      </c>
      <c r="F195" s="10" t="s">
        <v>708</v>
      </c>
      <c r="G195" s="9" t="n">
        <v>21889.7</v>
      </c>
      <c r="H195" s="10" t="s">
        <v>937</v>
      </c>
      <c r="I195" s="9" t="s">
        <v>712</v>
      </c>
    </row>
    <row r="196" customFormat="false" ht="15" hidden="false" customHeight="false" outlineLevel="0" collapsed="false">
      <c r="A196" s="9" t="s">
        <v>24</v>
      </c>
      <c r="B196" s="10" t="s">
        <v>90</v>
      </c>
      <c r="C196" s="10" t="s">
        <v>444</v>
      </c>
      <c r="D196" s="9" t="s">
        <v>938</v>
      </c>
      <c r="E196" s="10" t="s">
        <v>707</v>
      </c>
      <c r="F196" s="10" t="s">
        <v>708</v>
      </c>
      <c r="G196" s="9" t="n">
        <v>15795</v>
      </c>
      <c r="H196" s="10" t="s">
        <v>442</v>
      </c>
      <c r="I196" s="10" t="s">
        <v>710</v>
      </c>
    </row>
    <row r="197" customFormat="false" ht="15" hidden="false" customHeight="false" outlineLevel="0" collapsed="false">
      <c r="A197" s="9" t="s">
        <v>24</v>
      </c>
      <c r="B197" s="10" t="s">
        <v>90</v>
      </c>
      <c r="C197" s="10" t="s">
        <v>444</v>
      </c>
      <c r="D197" s="9" t="s">
        <v>939</v>
      </c>
      <c r="E197" s="10" t="s">
        <v>707</v>
      </c>
      <c r="F197" s="10" t="s">
        <v>708</v>
      </c>
      <c r="G197" s="9" t="n">
        <v>19420.5</v>
      </c>
      <c r="H197" s="10" t="s">
        <v>937</v>
      </c>
      <c r="I197" s="9" t="s">
        <v>712</v>
      </c>
    </row>
    <row r="198" customFormat="false" ht="15" hidden="false" customHeight="false" outlineLevel="0" collapsed="false">
      <c r="A198" s="9" t="s">
        <v>24</v>
      </c>
      <c r="B198" s="10" t="s">
        <v>90</v>
      </c>
      <c r="C198" s="10" t="s">
        <v>444</v>
      </c>
      <c r="D198" s="9" t="s">
        <v>940</v>
      </c>
      <c r="E198" s="10" t="s">
        <v>707</v>
      </c>
      <c r="F198" s="10" t="s">
        <v>708</v>
      </c>
      <c r="G198" s="9" t="n">
        <v>18064.6</v>
      </c>
      <c r="H198" s="10" t="s">
        <v>452</v>
      </c>
      <c r="I198" s="10" t="s">
        <v>710</v>
      </c>
    </row>
    <row r="199" customFormat="false" ht="15" hidden="false" customHeight="false" outlineLevel="0" collapsed="false">
      <c r="A199" s="9" t="s">
        <v>24</v>
      </c>
      <c r="B199" s="10" t="s">
        <v>90</v>
      </c>
      <c r="C199" s="10" t="s">
        <v>444</v>
      </c>
      <c r="D199" s="9" t="s">
        <v>941</v>
      </c>
      <c r="E199" s="10" t="s">
        <v>707</v>
      </c>
      <c r="F199" s="10" t="s">
        <v>708</v>
      </c>
      <c r="G199" s="9" t="n">
        <v>1668</v>
      </c>
      <c r="H199" s="10" t="s">
        <v>433</v>
      </c>
      <c r="I199" s="10" t="s">
        <v>710</v>
      </c>
    </row>
    <row r="200" customFormat="false" ht="15" hidden="false" customHeight="false" outlineLevel="0" collapsed="false">
      <c r="A200" s="9" t="s">
        <v>24</v>
      </c>
      <c r="B200" s="10" t="s">
        <v>90</v>
      </c>
      <c r="C200" s="10" t="s">
        <v>456</v>
      </c>
      <c r="D200" s="10" t="s">
        <v>922</v>
      </c>
      <c r="E200" s="10" t="s">
        <v>707</v>
      </c>
      <c r="F200" s="10" t="s">
        <v>708</v>
      </c>
      <c r="G200" s="9" t="n">
        <v>84.2</v>
      </c>
      <c r="H200" s="10" t="s">
        <v>450</v>
      </c>
      <c r="I200" s="9" t="s">
        <v>712</v>
      </c>
    </row>
    <row r="201" customFormat="false" ht="15" hidden="false" customHeight="false" outlineLevel="0" collapsed="false">
      <c r="A201" s="9" t="s">
        <v>24</v>
      </c>
      <c r="B201" s="10" t="s">
        <v>90</v>
      </c>
      <c r="C201" s="10" t="s">
        <v>456</v>
      </c>
      <c r="D201" s="10" t="s">
        <v>923</v>
      </c>
      <c r="E201" s="10" t="s">
        <v>707</v>
      </c>
      <c r="F201" s="10" t="s">
        <v>708</v>
      </c>
      <c r="G201" s="9" t="n">
        <v>491.6</v>
      </c>
      <c r="H201" s="10" t="s">
        <v>436</v>
      </c>
      <c r="I201" s="9" t="s">
        <v>712</v>
      </c>
    </row>
    <row r="202" customFormat="false" ht="15" hidden="false" customHeight="false" outlineLevel="0" collapsed="false">
      <c r="A202" s="9" t="s">
        <v>24</v>
      </c>
      <c r="B202" s="10" t="s">
        <v>90</v>
      </c>
      <c r="C202" s="10" t="s">
        <v>456</v>
      </c>
      <c r="D202" s="9" t="s">
        <v>924</v>
      </c>
      <c r="E202" s="10" t="s">
        <v>707</v>
      </c>
      <c r="F202" s="10" t="s">
        <v>708</v>
      </c>
      <c r="G202" s="9" t="n">
        <v>50625</v>
      </c>
      <c r="H202" s="10" t="s">
        <v>442</v>
      </c>
      <c r="I202" s="9" t="s">
        <v>712</v>
      </c>
    </row>
    <row r="203" customFormat="false" ht="15" hidden="false" customHeight="false" outlineLevel="0" collapsed="false">
      <c r="A203" s="9" t="s">
        <v>24</v>
      </c>
      <c r="B203" s="10" t="s">
        <v>90</v>
      </c>
      <c r="C203" s="10" t="s">
        <v>456</v>
      </c>
      <c r="D203" s="9" t="s">
        <v>925</v>
      </c>
      <c r="E203" s="10" t="s">
        <v>707</v>
      </c>
      <c r="F203" s="9" t="s">
        <v>368</v>
      </c>
      <c r="G203" s="9" t="n">
        <v>0</v>
      </c>
      <c r="H203" s="10" t="s">
        <v>344</v>
      </c>
      <c r="I203" s="10" t="s">
        <v>710</v>
      </c>
    </row>
    <row r="204" customFormat="false" ht="15" hidden="false" customHeight="false" outlineLevel="0" collapsed="false">
      <c r="A204" s="9" t="s">
        <v>24</v>
      </c>
      <c r="B204" s="10" t="s">
        <v>90</v>
      </c>
      <c r="C204" s="10" t="s">
        <v>457</v>
      </c>
      <c r="D204" s="10" t="s">
        <v>926</v>
      </c>
      <c r="E204" s="10" t="s">
        <v>707</v>
      </c>
      <c r="F204" s="10" t="s">
        <v>708</v>
      </c>
      <c r="G204" s="9" t="n">
        <v>100.1</v>
      </c>
      <c r="H204" s="10" t="s">
        <v>344</v>
      </c>
      <c r="I204" s="10" t="s">
        <v>710</v>
      </c>
    </row>
    <row r="205" customFormat="false" ht="15" hidden="false" customHeight="false" outlineLevel="0" collapsed="false">
      <c r="A205" s="9" t="s">
        <v>24</v>
      </c>
      <c r="B205" s="10" t="s">
        <v>90</v>
      </c>
      <c r="C205" s="10" t="s">
        <v>457</v>
      </c>
      <c r="D205" s="10" t="s">
        <v>927</v>
      </c>
      <c r="E205" s="10" t="s">
        <v>707</v>
      </c>
      <c r="F205" s="10" t="s">
        <v>708</v>
      </c>
      <c r="G205" s="9" t="n">
        <v>1669.9</v>
      </c>
      <c r="H205" s="10" t="s">
        <v>446</v>
      </c>
      <c r="I205" s="9" t="s">
        <v>712</v>
      </c>
    </row>
    <row r="206" customFormat="false" ht="15" hidden="false" customHeight="false" outlineLevel="0" collapsed="false">
      <c r="A206" s="9" t="s">
        <v>24</v>
      </c>
      <c r="B206" s="10" t="s">
        <v>90</v>
      </c>
      <c r="C206" s="10" t="s">
        <v>457</v>
      </c>
      <c r="D206" s="10" t="s">
        <v>928</v>
      </c>
      <c r="E206" s="10" t="s">
        <v>707</v>
      </c>
      <c r="F206" s="10" t="s">
        <v>708</v>
      </c>
      <c r="G206" s="9" t="n">
        <v>1687.8</v>
      </c>
      <c r="H206" s="10" t="s">
        <v>446</v>
      </c>
      <c r="I206" s="9" t="s">
        <v>712</v>
      </c>
    </row>
    <row r="207" customFormat="false" ht="15" hidden="false" customHeight="false" outlineLevel="0" collapsed="false">
      <c r="A207" s="9" t="s">
        <v>24</v>
      </c>
      <c r="B207" s="10" t="s">
        <v>90</v>
      </c>
      <c r="C207" s="10" t="s">
        <v>457</v>
      </c>
      <c r="D207" s="10" t="s">
        <v>929</v>
      </c>
      <c r="E207" s="10" t="s">
        <v>707</v>
      </c>
      <c r="F207" s="10" t="s">
        <v>708</v>
      </c>
      <c r="G207" s="9" t="n">
        <v>1688.3</v>
      </c>
      <c r="H207" s="10" t="s">
        <v>446</v>
      </c>
      <c r="I207" s="9" t="s">
        <v>712</v>
      </c>
    </row>
    <row r="208" customFormat="false" ht="15" hidden="false" customHeight="false" outlineLevel="0" collapsed="false">
      <c r="A208" s="9" t="s">
        <v>24</v>
      </c>
      <c r="B208" s="10" t="s">
        <v>90</v>
      </c>
      <c r="C208" s="10" t="s">
        <v>457</v>
      </c>
      <c r="D208" s="10" t="s">
        <v>933</v>
      </c>
      <c r="E208" s="10" t="s">
        <v>707</v>
      </c>
      <c r="F208" s="10" t="s">
        <v>708</v>
      </c>
      <c r="G208" s="9" t="n">
        <v>1659.4</v>
      </c>
      <c r="H208" s="10" t="s">
        <v>452</v>
      </c>
      <c r="I208" s="10" t="s">
        <v>710</v>
      </c>
    </row>
    <row r="209" customFormat="false" ht="15" hidden="false" customHeight="false" outlineLevel="0" collapsed="false">
      <c r="A209" s="9" t="s">
        <v>24</v>
      </c>
      <c r="B209" s="10" t="s">
        <v>90</v>
      </c>
      <c r="C209" s="10" t="s">
        <v>457</v>
      </c>
      <c r="D209" s="10" t="s">
        <v>934</v>
      </c>
      <c r="E209" s="10" t="s">
        <v>707</v>
      </c>
      <c r="F209" s="10" t="s">
        <v>708</v>
      </c>
      <c r="G209" s="9" t="n">
        <v>1657.8</v>
      </c>
      <c r="H209" s="10" t="s">
        <v>344</v>
      </c>
      <c r="I209" s="9" t="s">
        <v>712</v>
      </c>
    </row>
    <row r="210" customFormat="false" ht="15" hidden="false" customHeight="false" outlineLevel="0" collapsed="false">
      <c r="A210" s="9" t="s">
        <v>24</v>
      </c>
      <c r="B210" s="10" t="s">
        <v>90</v>
      </c>
      <c r="C210" s="10" t="s">
        <v>457</v>
      </c>
      <c r="D210" s="9" t="s">
        <v>942</v>
      </c>
      <c r="E210" s="10" t="s">
        <v>707</v>
      </c>
      <c r="F210" s="10" t="s">
        <v>943</v>
      </c>
      <c r="G210" s="9" t="n">
        <v>446.3</v>
      </c>
      <c r="H210" s="10" t="s">
        <v>459</v>
      </c>
      <c r="I210" s="9" t="s">
        <v>712</v>
      </c>
    </row>
    <row r="211" customFormat="false" ht="15" hidden="false" customHeight="false" outlineLevel="0" collapsed="false">
      <c r="A211" s="9" t="s">
        <v>24</v>
      </c>
      <c r="B211" s="10" t="s">
        <v>90</v>
      </c>
      <c r="C211" s="10" t="s">
        <v>457</v>
      </c>
      <c r="D211" s="9" t="s">
        <v>935</v>
      </c>
      <c r="E211" s="10" t="s">
        <v>707</v>
      </c>
      <c r="F211" s="10" t="s">
        <v>708</v>
      </c>
      <c r="G211" s="9" t="n">
        <v>10749.8</v>
      </c>
      <c r="H211" s="10" t="s">
        <v>344</v>
      </c>
      <c r="I211" s="10" t="s">
        <v>710</v>
      </c>
    </row>
    <row r="212" customFormat="false" ht="15" hidden="false" customHeight="false" outlineLevel="0" collapsed="false">
      <c r="A212" s="9" t="s">
        <v>24</v>
      </c>
      <c r="B212" s="10" t="s">
        <v>90</v>
      </c>
      <c r="C212" s="10" t="s">
        <v>457</v>
      </c>
      <c r="D212" s="9" t="s">
        <v>936</v>
      </c>
      <c r="E212" s="10" t="s">
        <v>707</v>
      </c>
      <c r="F212" s="10" t="s">
        <v>708</v>
      </c>
      <c r="G212" s="9" t="n">
        <v>21889.7</v>
      </c>
      <c r="H212" s="10" t="s">
        <v>937</v>
      </c>
      <c r="I212" s="9" t="s">
        <v>712</v>
      </c>
    </row>
    <row r="213" customFormat="false" ht="15" hidden="false" customHeight="false" outlineLevel="0" collapsed="false">
      <c r="A213" s="9" t="s">
        <v>24</v>
      </c>
      <c r="B213" s="10" t="s">
        <v>90</v>
      </c>
      <c r="C213" s="10" t="s">
        <v>457</v>
      </c>
      <c r="D213" s="9" t="s">
        <v>938</v>
      </c>
      <c r="E213" s="10" t="s">
        <v>707</v>
      </c>
      <c r="F213" s="10" t="s">
        <v>708</v>
      </c>
      <c r="G213" s="9" t="n">
        <v>15795</v>
      </c>
      <c r="H213" s="10" t="s">
        <v>442</v>
      </c>
      <c r="I213" s="10" t="s">
        <v>710</v>
      </c>
    </row>
    <row r="214" customFormat="false" ht="15" hidden="false" customHeight="false" outlineLevel="0" collapsed="false">
      <c r="A214" s="9" t="s">
        <v>24</v>
      </c>
      <c r="B214" s="10" t="s">
        <v>90</v>
      </c>
      <c r="C214" s="10" t="s">
        <v>457</v>
      </c>
      <c r="D214" s="9" t="s">
        <v>939</v>
      </c>
      <c r="E214" s="10" t="s">
        <v>707</v>
      </c>
      <c r="F214" s="10" t="s">
        <v>708</v>
      </c>
      <c r="G214" s="9" t="n">
        <v>19420.5</v>
      </c>
      <c r="H214" s="10" t="s">
        <v>937</v>
      </c>
      <c r="I214" s="9" t="s">
        <v>712</v>
      </c>
    </row>
    <row r="215" customFormat="false" ht="15" hidden="false" customHeight="false" outlineLevel="0" collapsed="false">
      <c r="A215" s="9" t="s">
        <v>24</v>
      </c>
      <c r="B215" s="10" t="s">
        <v>90</v>
      </c>
      <c r="C215" s="10" t="s">
        <v>457</v>
      </c>
      <c r="D215" s="9" t="s">
        <v>940</v>
      </c>
      <c r="E215" s="10" t="s">
        <v>707</v>
      </c>
      <c r="F215" s="10" t="s">
        <v>708</v>
      </c>
      <c r="G215" s="9" t="n">
        <v>18064.6</v>
      </c>
      <c r="H215" s="10" t="s">
        <v>452</v>
      </c>
      <c r="I215" s="10" t="s">
        <v>710</v>
      </c>
    </row>
    <row r="216" customFormat="false" ht="15" hidden="false" customHeight="false" outlineLevel="0" collapsed="false">
      <c r="A216" s="9" t="s">
        <v>24</v>
      </c>
      <c r="B216" s="10" t="s">
        <v>90</v>
      </c>
      <c r="C216" s="10" t="s">
        <v>457</v>
      </c>
      <c r="D216" s="9" t="s">
        <v>941</v>
      </c>
      <c r="E216" s="10" t="s">
        <v>707</v>
      </c>
      <c r="F216" s="10" t="s">
        <v>708</v>
      </c>
      <c r="G216" s="9" t="n">
        <v>1668</v>
      </c>
      <c r="H216" s="10" t="s">
        <v>433</v>
      </c>
      <c r="I216" s="10" t="s">
        <v>710</v>
      </c>
    </row>
    <row r="217" customFormat="false" ht="15" hidden="false" customHeight="false" outlineLevel="0" collapsed="false">
      <c r="A217" s="9" t="s">
        <v>25</v>
      </c>
      <c r="B217" s="10" t="s">
        <v>460</v>
      </c>
      <c r="C217" s="10" t="s">
        <v>461</v>
      </c>
      <c r="D217" s="10" t="s">
        <v>944</v>
      </c>
      <c r="E217" s="10" t="s">
        <v>707</v>
      </c>
      <c r="F217" s="10" t="s">
        <v>708</v>
      </c>
      <c r="G217" s="9" t="n">
        <v>7073.9</v>
      </c>
      <c r="H217" s="10" t="s">
        <v>945</v>
      </c>
      <c r="I217" s="10" t="s">
        <v>710</v>
      </c>
    </row>
    <row r="218" customFormat="false" ht="15" hidden="false" customHeight="false" outlineLevel="0" collapsed="false">
      <c r="A218" s="9" t="s">
        <v>25</v>
      </c>
      <c r="B218" s="10" t="s">
        <v>460</v>
      </c>
      <c r="C218" s="10" t="s">
        <v>461</v>
      </c>
      <c r="D218" s="10" t="s">
        <v>946</v>
      </c>
      <c r="E218" s="10" t="s">
        <v>707</v>
      </c>
      <c r="F218" s="10" t="s">
        <v>708</v>
      </c>
      <c r="G218" s="9" t="n">
        <v>185.6</v>
      </c>
      <c r="H218" s="10" t="s">
        <v>469</v>
      </c>
      <c r="I218" s="9" t="s">
        <v>712</v>
      </c>
    </row>
    <row r="219" customFormat="false" ht="15" hidden="false" customHeight="false" outlineLevel="0" collapsed="false">
      <c r="A219" s="9" t="s">
        <v>25</v>
      </c>
      <c r="B219" s="10" t="s">
        <v>460</v>
      </c>
      <c r="C219" s="10" t="s">
        <v>461</v>
      </c>
      <c r="D219" s="10" t="s">
        <v>947</v>
      </c>
      <c r="E219" s="10" t="s">
        <v>707</v>
      </c>
      <c r="F219" s="10" t="s">
        <v>708</v>
      </c>
      <c r="G219" s="9" t="n">
        <v>258.5</v>
      </c>
      <c r="H219" s="10" t="s">
        <v>469</v>
      </c>
      <c r="I219" s="9" t="s">
        <v>712</v>
      </c>
    </row>
    <row r="220" customFormat="false" ht="15" hidden="false" customHeight="false" outlineLevel="0" collapsed="false">
      <c r="A220" s="9" t="s">
        <v>25</v>
      </c>
      <c r="B220" s="10" t="s">
        <v>460</v>
      </c>
      <c r="C220" s="10" t="s">
        <v>474</v>
      </c>
      <c r="D220" s="10" t="s">
        <v>948</v>
      </c>
      <c r="E220" s="10" t="s">
        <v>707</v>
      </c>
      <c r="F220" s="10" t="s">
        <v>708</v>
      </c>
      <c r="G220" s="9" t="n">
        <v>140.7</v>
      </c>
      <c r="H220" s="10" t="s">
        <v>949</v>
      </c>
      <c r="I220" s="9" t="s">
        <v>712</v>
      </c>
    </row>
    <row r="221" customFormat="false" ht="15" hidden="false" customHeight="false" outlineLevel="0" collapsed="false">
      <c r="A221" s="9" t="s">
        <v>25</v>
      </c>
      <c r="B221" s="10" t="s">
        <v>460</v>
      </c>
      <c r="C221" s="10" t="s">
        <v>474</v>
      </c>
      <c r="D221" s="10" t="s">
        <v>950</v>
      </c>
      <c r="E221" s="10" t="s">
        <v>707</v>
      </c>
      <c r="F221" s="10" t="s">
        <v>708</v>
      </c>
      <c r="G221" s="9" t="n">
        <v>75.9</v>
      </c>
      <c r="H221" s="10" t="s">
        <v>502</v>
      </c>
      <c r="I221" s="10" t="s">
        <v>710</v>
      </c>
    </row>
    <row r="222" customFormat="false" ht="15" hidden="false" customHeight="false" outlineLevel="0" collapsed="false">
      <c r="A222" s="9" t="s">
        <v>25</v>
      </c>
      <c r="B222" s="10" t="s">
        <v>460</v>
      </c>
      <c r="C222" s="10" t="s">
        <v>474</v>
      </c>
      <c r="D222" s="10" t="s">
        <v>951</v>
      </c>
      <c r="E222" s="10" t="s">
        <v>707</v>
      </c>
      <c r="F222" s="10" t="s">
        <v>708</v>
      </c>
      <c r="G222" s="9" t="n">
        <v>58.2</v>
      </c>
      <c r="H222" s="10" t="s">
        <v>478</v>
      </c>
      <c r="I222" s="9" t="s">
        <v>712</v>
      </c>
    </row>
    <row r="223" customFormat="false" ht="15" hidden="false" customHeight="false" outlineLevel="0" collapsed="false">
      <c r="A223" s="9" t="s">
        <v>25</v>
      </c>
      <c r="B223" s="10" t="s">
        <v>460</v>
      </c>
      <c r="C223" s="10" t="s">
        <v>474</v>
      </c>
      <c r="D223" s="10" t="s">
        <v>952</v>
      </c>
      <c r="E223" s="10" t="s">
        <v>707</v>
      </c>
      <c r="F223" s="10" t="s">
        <v>708</v>
      </c>
      <c r="G223" s="9" t="n">
        <v>37.7</v>
      </c>
      <c r="H223" s="10" t="s">
        <v>480</v>
      </c>
      <c r="I223" s="9" t="s">
        <v>712</v>
      </c>
    </row>
    <row r="224" customFormat="false" ht="15" hidden="false" customHeight="false" outlineLevel="0" collapsed="false">
      <c r="A224" s="9" t="s">
        <v>25</v>
      </c>
      <c r="B224" s="10" t="s">
        <v>460</v>
      </c>
      <c r="C224" s="10" t="s">
        <v>474</v>
      </c>
      <c r="D224" s="10" t="s">
        <v>953</v>
      </c>
      <c r="E224" s="10" t="s">
        <v>707</v>
      </c>
      <c r="F224" s="10" t="s">
        <v>708</v>
      </c>
      <c r="G224" s="9" t="n">
        <v>24.4</v>
      </c>
      <c r="H224" s="10" t="s">
        <v>534</v>
      </c>
      <c r="I224" s="9" t="s">
        <v>712</v>
      </c>
    </row>
    <row r="225" customFormat="false" ht="15" hidden="false" customHeight="false" outlineLevel="0" collapsed="false">
      <c r="A225" s="9" t="s">
        <v>25</v>
      </c>
      <c r="B225" s="10" t="s">
        <v>460</v>
      </c>
      <c r="C225" s="10" t="s">
        <v>474</v>
      </c>
      <c r="D225" s="10" t="s">
        <v>954</v>
      </c>
      <c r="E225" s="10" t="s">
        <v>707</v>
      </c>
      <c r="F225" s="10" t="s">
        <v>708</v>
      </c>
      <c r="G225" s="9" t="n">
        <v>48.3</v>
      </c>
      <c r="H225" s="10" t="s">
        <v>346</v>
      </c>
      <c r="I225" s="9" t="s">
        <v>712</v>
      </c>
    </row>
    <row r="226" customFormat="false" ht="15" hidden="false" customHeight="false" outlineLevel="0" collapsed="false">
      <c r="A226" s="9" t="s">
        <v>25</v>
      </c>
      <c r="B226" s="10" t="s">
        <v>460</v>
      </c>
      <c r="C226" s="10" t="s">
        <v>474</v>
      </c>
      <c r="D226" s="10" t="s">
        <v>955</v>
      </c>
      <c r="E226" s="10" t="s">
        <v>707</v>
      </c>
      <c r="F226" s="10" t="s">
        <v>708</v>
      </c>
      <c r="G226" s="9" t="n">
        <v>32.2</v>
      </c>
      <c r="H226" s="10" t="s">
        <v>485</v>
      </c>
      <c r="I226" s="9" t="s">
        <v>712</v>
      </c>
    </row>
    <row r="227" customFormat="false" ht="15" hidden="false" customHeight="false" outlineLevel="0" collapsed="false">
      <c r="A227" s="9" t="s">
        <v>25</v>
      </c>
      <c r="B227" s="10" t="s">
        <v>460</v>
      </c>
      <c r="C227" s="10" t="s">
        <v>474</v>
      </c>
      <c r="D227" s="10" t="s">
        <v>956</v>
      </c>
      <c r="E227" s="10" t="s">
        <v>707</v>
      </c>
      <c r="F227" s="10" t="s">
        <v>708</v>
      </c>
      <c r="G227" s="9" t="n">
        <v>32.7</v>
      </c>
      <c r="H227" s="10" t="s">
        <v>472</v>
      </c>
      <c r="I227" s="9" t="s">
        <v>712</v>
      </c>
    </row>
    <row r="228" customFormat="false" ht="15" hidden="false" customHeight="false" outlineLevel="0" collapsed="false">
      <c r="A228" s="9" t="s">
        <v>25</v>
      </c>
      <c r="B228" s="10" t="s">
        <v>460</v>
      </c>
      <c r="C228" s="10" t="s">
        <v>474</v>
      </c>
      <c r="D228" s="10" t="s">
        <v>957</v>
      </c>
      <c r="E228" s="10" t="s">
        <v>707</v>
      </c>
      <c r="F228" s="10" t="s">
        <v>708</v>
      </c>
      <c r="G228" s="9" t="n">
        <v>29</v>
      </c>
      <c r="H228" s="10" t="s">
        <v>488</v>
      </c>
      <c r="I228" s="9" t="s">
        <v>712</v>
      </c>
    </row>
    <row r="229" customFormat="false" ht="15" hidden="false" customHeight="false" outlineLevel="0" collapsed="false">
      <c r="A229" s="9" t="s">
        <v>25</v>
      </c>
      <c r="B229" s="10" t="s">
        <v>460</v>
      </c>
      <c r="C229" s="10" t="s">
        <v>474</v>
      </c>
      <c r="D229" s="10" t="s">
        <v>958</v>
      </c>
      <c r="E229" s="10" t="s">
        <v>707</v>
      </c>
      <c r="F229" s="10" t="s">
        <v>708</v>
      </c>
      <c r="G229" s="9" t="n">
        <v>25.9</v>
      </c>
      <c r="H229" s="10" t="s">
        <v>478</v>
      </c>
      <c r="I229" s="9" t="s">
        <v>712</v>
      </c>
    </row>
    <row r="230" customFormat="false" ht="15" hidden="false" customHeight="false" outlineLevel="0" collapsed="false">
      <c r="A230" s="9" t="s">
        <v>25</v>
      </c>
      <c r="B230" s="10" t="s">
        <v>460</v>
      </c>
      <c r="C230" s="10" t="s">
        <v>474</v>
      </c>
      <c r="D230" s="10" t="s">
        <v>959</v>
      </c>
      <c r="E230" s="10" t="s">
        <v>707</v>
      </c>
      <c r="F230" s="10" t="s">
        <v>708</v>
      </c>
      <c r="G230" s="9" t="n">
        <v>7000.6</v>
      </c>
      <c r="H230" s="10" t="s">
        <v>480</v>
      </c>
      <c r="I230" s="10" t="s">
        <v>710</v>
      </c>
    </row>
    <row r="231" customFormat="false" ht="15" hidden="false" customHeight="false" outlineLevel="0" collapsed="false">
      <c r="A231" s="9" t="s">
        <v>25</v>
      </c>
      <c r="B231" s="10" t="s">
        <v>460</v>
      </c>
      <c r="C231" s="10" t="s">
        <v>474</v>
      </c>
      <c r="D231" s="10" t="s">
        <v>960</v>
      </c>
      <c r="E231" s="10" t="s">
        <v>707</v>
      </c>
      <c r="F231" s="10" t="s">
        <v>708</v>
      </c>
      <c r="G231" s="9" t="n">
        <v>104.7</v>
      </c>
      <c r="H231" s="10" t="s">
        <v>961</v>
      </c>
      <c r="I231" s="10" t="s">
        <v>710</v>
      </c>
    </row>
    <row r="232" customFormat="false" ht="15" hidden="false" customHeight="false" outlineLevel="0" collapsed="false">
      <c r="A232" s="9" t="s">
        <v>25</v>
      </c>
      <c r="B232" s="10" t="s">
        <v>460</v>
      </c>
      <c r="C232" s="10" t="s">
        <v>474</v>
      </c>
      <c r="D232" s="10" t="s">
        <v>962</v>
      </c>
      <c r="E232" s="10" t="s">
        <v>707</v>
      </c>
      <c r="F232" s="10" t="s">
        <v>708</v>
      </c>
      <c r="G232" s="9" t="n">
        <v>106.7</v>
      </c>
      <c r="H232" s="10" t="s">
        <v>493</v>
      </c>
      <c r="I232" s="9" t="s">
        <v>712</v>
      </c>
    </row>
    <row r="233" customFormat="false" ht="15" hidden="false" customHeight="false" outlineLevel="0" collapsed="false">
      <c r="A233" s="9" t="s">
        <v>25</v>
      </c>
      <c r="B233" s="10" t="s">
        <v>460</v>
      </c>
      <c r="C233" s="10" t="s">
        <v>474</v>
      </c>
      <c r="D233" s="10" t="s">
        <v>963</v>
      </c>
      <c r="E233" s="10" t="s">
        <v>707</v>
      </c>
      <c r="F233" s="10" t="s">
        <v>708</v>
      </c>
      <c r="G233" s="9" t="n">
        <v>144.3</v>
      </c>
      <c r="H233" s="10" t="s">
        <v>495</v>
      </c>
      <c r="I233" s="10" t="s">
        <v>710</v>
      </c>
    </row>
    <row r="234" customFormat="false" ht="15" hidden="false" customHeight="false" outlineLevel="0" collapsed="false">
      <c r="A234" s="9" t="s">
        <v>25</v>
      </c>
      <c r="B234" s="10" t="s">
        <v>460</v>
      </c>
      <c r="C234" s="10" t="s">
        <v>474</v>
      </c>
      <c r="D234" s="10" t="s">
        <v>964</v>
      </c>
      <c r="E234" s="10" t="s">
        <v>707</v>
      </c>
      <c r="F234" s="10" t="s">
        <v>708</v>
      </c>
      <c r="G234" s="9" t="n">
        <v>857.6</v>
      </c>
      <c r="H234" s="10" t="s">
        <v>495</v>
      </c>
      <c r="I234" s="10" t="s">
        <v>710</v>
      </c>
    </row>
    <row r="235" customFormat="false" ht="15" hidden="false" customHeight="false" outlineLevel="0" collapsed="false">
      <c r="A235" s="9" t="s">
        <v>25</v>
      </c>
      <c r="B235" s="10" t="s">
        <v>460</v>
      </c>
      <c r="C235" s="10" t="s">
        <v>474</v>
      </c>
      <c r="D235" s="10" t="s">
        <v>965</v>
      </c>
      <c r="E235" s="10" t="s">
        <v>707</v>
      </c>
      <c r="F235" s="10" t="s">
        <v>708</v>
      </c>
      <c r="G235" s="9" t="n">
        <v>144.9</v>
      </c>
      <c r="H235" s="10" t="s">
        <v>495</v>
      </c>
      <c r="I235" s="9" t="s">
        <v>712</v>
      </c>
    </row>
    <row r="236" customFormat="false" ht="15" hidden="false" customHeight="false" outlineLevel="0" collapsed="false">
      <c r="A236" s="9" t="s">
        <v>25</v>
      </c>
      <c r="B236" s="10" t="s">
        <v>460</v>
      </c>
      <c r="C236" s="10" t="s">
        <v>474</v>
      </c>
      <c r="D236" s="10" t="s">
        <v>966</v>
      </c>
      <c r="E236" s="10" t="s">
        <v>707</v>
      </c>
      <c r="F236" s="10" t="s">
        <v>708</v>
      </c>
      <c r="G236" s="9" t="n">
        <v>40.5</v>
      </c>
      <c r="H236" s="10" t="s">
        <v>493</v>
      </c>
      <c r="I236" s="9" t="s">
        <v>712</v>
      </c>
    </row>
    <row r="237" customFormat="false" ht="15" hidden="false" customHeight="false" outlineLevel="0" collapsed="false">
      <c r="A237" s="9" t="s">
        <v>25</v>
      </c>
      <c r="B237" s="10" t="s">
        <v>460</v>
      </c>
      <c r="C237" s="10" t="s">
        <v>474</v>
      </c>
      <c r="D237" s="10" t="s">
        <v>967</v>
      </c>
      <c r="E237" s="10" t="s">
        <v>707</v>
      </c>
      <c r="F237" s="10" t="s">
        <v>708</v>
      </c>
      <c r="G237" s="9" t="n">
        <v>486.6</v>
      </c>
      <c r="H237" s="10" t="s">
        <v>498</v>
      </c>
      <c r="I237" s="9" t="s">
        <v>712</v>
      </c>
    </row>
    <row r="238" customFormat="false" ht="15" hidden="false" customHeight="false" outlineLevel="0" collapsed="false">
      <c r="A238" s="9" t="s">
        <v>25</v>
      </c>
      <c r="B238" s="10" t="s">
        <v>460</v>
      </c>
      <c r="C238" s="10" t="s">
        <v>474</v>
      </c>
      <c r="D238" s="10" t="s">
        <v>968</v>
      </c>
      <c r="E238" s="10" t="s">
        <v>707</v>
      </c>
      <c r="F238" s="10" t="s">
        <v>708</v>
      </c>
      <c r="G238" s="9" t="n">
        <v>6936.8</v>
      </c>
      <c r="H238" s="10" t="s">
        <v>491</v>
      </c>
      <c r="I238" s="9" t="s">
        <v>712</v>
      </c>
    </row>
    <row r="239" customFormat="false" ht="15" hidden="false" customHeight="false" outlineLevel="0" collapsed="false">
      <c r="A239" s="9" t="s">
        <v>25</v>
      </c>
      <c r="B239" s="10" t="s">
        <v>460</v>
      </c>
      <c r="C239" s="10" t="s">
        <v>530</v>
      </c>
      <c r="D239" s="10" t="s">
        <v>969</v>
      </c>
      <c r="E239" s="10" t="s">
        <v>707</v>
      </c>
      <c r="F239" s="10" t="s">
        <v>708</v>
      </c>
      <c r="G239" s="9" t="n">
        <v>3033.9</v>
      </c>
      <c r="H239" s="10" t="s">
        <v>464</v>
      </c>
      <c r="I239" s="9" t="s">
        <v>712</v>
      </c>
    </row>
    <row r="240" customFormat="false" ht="15" hidden="false" customHeight="false" outlineLevel="0" collapsed="false">
      <c r="A240" s="9" t="s">
        <v>26</v>
      </c>
      <c r="B240" s="10" t="s">
        <v>546</v>
      </c>
      <c r="C240" s="10" t="s">
        <v>547</v>
      </c>
      <c r="D240" s="10" t="s">
        <v>970</v>
      </c>
      <c r="E240" s="10" t="s">
        <v>707</v>
      </c>
      <c r="F240" s="10" t="s">
        <v>708</v>
      </c>
      <c r="G240" s="9" t="n">
        <v>668.2</v>
      </c>
      <c r="H240" s="10" t="s">
        <v>564</v>
      </c>
      <c r="I240" s="9" t="s">
        <v>712</v>
      </c>
    </row>
    <row r="241" customFormat="false" ht="15" hidden="false" customHeight="false" outlineLevel="0" collapsed="false">
      <c r="A241" s="9" t="s">
        <v>26</v>
      </c>
      <c r="B241" s="10" t="s">
        <v>546</v>
      </c>
      <c r="C241" s="10" t="s">
        <v>547</v>
      </c>
      <c r="D241" s="10" t="s">
        <v>971</v>
      </c>
      <c r="E241" s="10" t="s">
        <v>707</v>
      </c>
      <c r="F241" s="10" t="s">
        <v>708</v>
      </c>
      <c r="G241" s="9" t="n">
        <v>1290.3</v>
      </c>
      <c r="H241" s="10" t="s">
        <v>183</v>
      </c>
      <c r="I241" s="10" t="s">
        <v>710</v>
      </c>
    </row>
    <row r="242" customFormat="false" ht="15" hidden="false" customHeight="false" outlineLevel="0" collapsed="false">
      <c r="A242" s="9" t="s">
        <v>26</v>
      </c>
      <c r="B242" s="10" t="s">
        <v>546</v>
      </c>
      <c r="C242" s="10" t="s">
        <v>547</v>
      </c>
      <c r="D242" s="10" t="s">
        <v>972</v>
      </c>
      <c r="E242" s="10" t="s">
        <v>707</v>
      </c>
      <c r="F242" s="10" t="s">
        <v>708</v>
      </c>
      <c r="G242" s="9" t="n">
        <v>142.9</v>
      </c>
      <c r="H242" s="10" t="s">
        <v>559</v>
      </c>
      <c r="I242" s="9" t="s">
        <v>712</v>
      </c>
    </row>
    <row r="243" customFormat="false" ht="15" hidden="false" customHeight="false" outlineLevel="0" collapsed="false">
      <c r="A243" s="9" t="s">
        <v>26</v>
      </c>
      <c r="B243" s="10" t="s">
        <v>546</v>
      </c>
      <c r="C243" s="10" t="s">
        <v>547</v>
      </c>
      <c r="D243" s="10" t="s">
        <v>973</v>
      </c>
      <c r="E243" s="10" t="s">
        <v>707</v>
      </c>
      <c r="F243" s="10" t="s">
        <v>708</v>
      </c>
      <c r="G243" s="9" t="n">
        <v>167</v>
      </c>
      <c r="H243" s="10" t="s">
        <v>551</v>
      </c>
      <c r="I243" s="10" t="s">
        <v>710</v>
      </c>
    </row>
    <row r="244" customFormat="false" ht="15" hidden="false" customHeight="false" outlineLevel="0" collapsed="false">
      <c r="A244" s="9" t="s">
        <v>26</v>
      </c>
      <c r="B244" s="10" t="s">
        <v>546</v>
      </c>
      <c r="C244" s="10" t="s">
        <v>547</v>
      </c>
      <c r="D244" s="10" t="s">
        <v>974</v>
      </c>
      <c r="E244" s="10" t="s">
        <v>707</v>
      </c>
      <c r="F244" s="10" t="s">
        <v>708</v>
      </c>
      <c r="G244" s="9" t="n">
        <v>849.2</v>
      </c>
      <c r="H244" s="10" t="s">
        <v>630</v>
      </c>
      <c r="I244" s="10" t="s">
        <v>710</v>
      </c>
    </row>
    <row r="245" customFormat="false" ht="15" hidden="false" customHeight="false" outlineLevel="0" collapsed="false">
      <c r="A245" s="9" t="s">
        <v>26</v>
      </c>
      <c r="B245" s="10" t="s">
        <v>546</v>
      </c>
      <c r="C245" s="10" t="s">
        <v>547</v>
      </c>
      <c r="D245" s="10" t="s">
        <v>975</v>
      </c>
      <c r="E245" s="10" t="s">
        <v>707</v>
      </c>
      <c r="F245" s="10" t="s">
        <v>708</v>
      </c>
      <c r="G245" s="9" t="n">
        <v>479.5</v>
      </c>
      <c r="H245" s="10" t="s">
        <v>761</v>
      </c>
      <c r="I245" s="9" t="s">
        <v>712</v>
      </c>
    </row>
    <row r="246" customFormat="false" ht="15" hidden="false" customHeight="false" outlineLevel="0" collapsed="false">
      <c r="A246" s="9" t="s">
        <v>26</v>
      </c>
      <c r="B246" s="10" t="s">
        <v>546</v>
      </c>
      <c r="C246" s="10" t="s">
        <v>547</v>
      </c>
      <c r="D246" s="10" t="s">
        <v>976</v>
      </c>
      <c r="E246" s="10" t="s">
        <v>707</v>
      </c>
      <c r="F246" s="10" t="s">
        <v>708</v>
      </c>
      <c r="G246" s="9" t="n">
        <v>26.4</v>
      </c>
      <c r="H246" s="10" t="s">
        <v>162</v>
      </c>
      <c r="I246" s="9" t="s">
        <v>712</v>
      </c>
    </row>
    <row r="247" customFormat="false" ht="15" hidden="false" customHeight="false" outlineLevel="0" collapsed="false">
      <c r="A247" s="9" t="s">
        <v>26</v>
      </c>
      <c r="B247" s="10" t="s">
        <v>546</v>
      </c>
      <c r="C247" s="10" t="s">
        <v>547</v>
      </c>
      <c r="D247" s="10" t="s">
        <v>977</v>
      </c>
      <c r="E247" s="10" t="s">
        <v>707</v>
      </c>
      <c r="F247" s="10" t="s">
        <v>708</v>
      </c>
      <c r="G247" s="9" t="n">
        <v>38.9</v>
      </c>
      <c r="H247" s="10" t="s">
        <v>162</v>
      </c>
      <c r="I247" s="10" t="s">
        <v>710</v>
      </c>
    </row>
    <row r="248" customFormat="false" ht="15" hidden="false" customHeight="false" outlineLevel="0" collapsed="false">
      <c r="A248" s="9" t="s">
        <v>26</v>
      </c>
      <c r="B248" s="10" t="s">
        <v>546</v>
      </c>
      <c r="C248" s="10" t="s">
        <v>547</v>
      </c>
      <c r="D248" s="10" t="s">
        <v>978</v>
      </c>
      <c r="E248" s="10" t="s">
        <v>707</v>
      </c>
      <c r="F248" s="10" t="s">
        <v>708</v>
      </c>
      <c r="G248" s="9" t="n">
        <v>660.1</v>
      </c>
      <c r="H248" s="10" t="s">
        <v>979</v>
      </c>
      <c r="I248" s="10" t="s">
        <v>710</v>
      </c>
    </row>
    <row r="249" customFormat="false" ht="15" hidden="false" customHeight="false" outlineLevel="0" collapsed="false">
      <c r="A249" s="9" t="s">
        <v>26</v>
      </c>
      <c r="B249" s="10" t="s">
        <v>546</v>
      </c>
      <c r="C249" s="10" t="s">
        <v>547</v>
      </c>
      <c r="D249" s="10" t="s">
        <v>980</v>
      </c>
      <c r="E249" s="10" t="s">
        <v>707</v>
      </c>
      <c r="F249" s="10" t="s">
        <v>708</v>
      </c>
      <c r="G249" s="9" t="n">
        <v>862.8</v>
      </c>
      <c r="H249" s="10" t="s">
        <v>189</v>
      </c>
      <c r="I249" s="10" t="s">
        <v>710</v>
      </c>
    </row>
    <row r="250" customFormat="false" ht="15" hidden="false" customHeight="false" outlineLevel="0" collapsed="false">
      <c r="A250" s="9" t="s">
        <v>26</v>
      </c>
      <c r="B250" s="10" t="s">
        <v>546</v>
      </c>
      <c r="C250" s="10" t="s">
        <v>547</v>
      </c>
      <c r="D250" s="9" t="s">
        <v>981</v>
      </c>
      <c r="E250" s="10" t="s">
        <v>707</v>
      </c>
      <c r="F250" s="10" t="s">
        <v>708</v>
      </c>
      <c r="G250" s="9" t="n">
        <v>36.3</v>
      </c>
      <c r="H250" s="10" t="s">
        <v>574</v>
      </c>
      <c r="I250" s="9" t="s">
        <v>712</v>
      </c>
    </row>
    <row r="251" customFormat="false" ht="15" hidden="false" customHeight="false" outlineLevel="0" collapsed="false">
      <c r="A251" s="9" t="s">
        <v>26</v>
      </c>
      <c r="B251" s="10" t="s">
        <v>546</v>
      </c>
      <c r="C251" s="10" t="s">
        <v>575</v>
      </c>
      <c r="D251" s="10" t="s">
        <v>982</v>
      </c>
      <c r="E251" s="10" t="s">
        <v>707</v>
      </c>
      <c r="F251" s="10" t="s">
        <v>708</v>
      </c>
      <c r="G251" s="9" t="n">
        <v>407</v>
      </c>
      <c r="H251" s="10" t="s">
        <v>570</v>
      </c>
      <c r="I251" s="10" t="s">
        <v>710</v>
      </c>
    </row>
    <row r="252" customFormat="false" ht="15" hidden="false" customHeight="false" outlineLevel="0" collapsed="false">
      <c r="A252" s="9" t="s">
        <v>26</v>
      </c>
      <c r="B252" s="10" t="s">
        <v>546</v>
      </c>
      <c r="C252" s="10" t="s">
        <v>575</v>
      </c>
      <c r="D252" s="10" t="s">
        <v>983</v>
      </c>
      <c r="E252" s="10" t="s">
        <v>707</v>
      </c>
      <c r="F252" s="10" t="s">
        <v>708</v>
      </c>
      <c r="G252" s="9" t="n">
        <v>183.1</v>
      </c>
      <c r="H252" s="10" t="s">
        <v>570</v>
      </c>
      <c r="I252" s="9" t="s">
        <v>712</v>
      </c>
    </row>
    <row r="253" customFormat="false" ht="15" hidden="false" customHeight="false" outlineLevel="0" collapsed="false">
      <c r="A253" s="9" t="s">
        <v>26</v>
      </c>
      <c r="B253" s="10" t="s">
        <v>546</v>
      </c>
      <c r="C253" s="10" t="s">
        <v>575</v>
      </c>
      <c r="D253" s="10" t="s">
        <v>984</v>
      </c>
      <c r="E253" s="10" t="s">
        <v>707</v>
      </c>
      <c r="F253" s="10" t="s">
        <v>708</v>
      </c>
      <c r="G253" s="9" t="n">
        <v>290.8</v>
      </c>
      <c r="H253" s="10" t="s">
        <v>570</v>
      </c>
      <c r="I253" s="9" t="s">
        <v>712</v>
      </c>
    </row>
    <row r="254" customFormat="false" ht="15" hidden="false" customHeight="false" outlineLevel="0" collapsed="false">
      <c r="A254" s="9" t="s">
        <v>26</v>
      </c>
      <c r="B254" s="10" t="s">
        <v>546</v>
      </c>
      <c r="C254" s="10" t="s">
        <v>575</v>
      </c>
      <c r="D254" s="10" t="s">
        <v>985</v>
      </c>
      <c r="E254" s="10" t="s">
        <v>707</v>
      </c>
      <c r="F254" s="10" t="s">
        <v>708</v>
      </c>
      <c r="G254" s="9" t="n">
        <v>96</v>
      </c>
      <c r="H254" s="10" t="s">
        <v>570</v>
      </c>
      <c r="I254" s="9" t="s">
        <v>712</v>
      </c>
    </row>
    <row r="255" customFormat="false" ht="15" hidden="false" customHeight="false" outlineLevel="0" collapsed="false">
      <c r="A255" s="9" t="s">
        <v>26</v>
      </c>
      <c r="B255" s="10" t="s">
        <v>546</v>
      </c>
      <c r="C255" s="10" t="s">
        <v>575</v>
      </c>
      <c r="D255" s="10" t="s">
        <v>986</v>
      </c>
      <c r="E255" s="10" t="s">
        <v>707</v>
      </c>
      <c r="F255" s="10" t="s">
        <v>708</v>
      </c>
      <c r="G255" s="9" t="n">
        <v>137.9</v>
      </c>
      <c r="H255" s="10" t="s">
        <v>570</v>
      </c>
      <c r="I255" s="9" t="s">
        <v>712</v>
      </c>
    </row>
    <row r="256" customFormat="false" ht="15" hidden="false" customHeight="false" outlineLevel="0" collapsed="false">
      <c r="A256" s="9" t="s">
        <v>26</v>
      </c>
      <c r="B256" s="10" t="s">
        <v>546</v>
      </c>
      <c r="C256" s="10" t="s">
        <v>575</v>
      </c>
      <c r="D256" s="10" t="s">
        <v>987</v>
      </c>
      <c r="E256" s="10" t="s">
        <v>707</v>
      </c>
      <c r="F256" s="10" t="s">
        <v>708</v>
      </c>
      <c r="G256" s="9" t="n">
        <v>143</v>
      </c>
      <c r="H256" s="10" t="s">
        <v>570</v>
      </c>
      <c r="I256" s="9" t="s">
        <v>712</v>
      </c>
    </row>
    <row r="257" customFormat="false" ht="15" hidden="false" customHeight="false" outlineLevel="0" collapsed="false">
      <c r="A257" s="9" t="s">
        <v>26</v>
      </c>
      <c r="B257" s="10" t="s">
        <v>546</v>
      </c>
      <c r="C257" s="10" t="s">
        <v>589</v>
      </c>
      <c r="D257" s="10" t="s">
        <v>988</v>
      </c>
      <c r="E257" s="10" t="s">
        <v>707</v>
      </c>
      <c r="F257" s="10" t="s">
        <v>708</v>
      </c>
      <c r="G257" s="9" t="n">
        <v>988.4</v>
      </c>
      <c r="H257" s="10" t="s">
        <v>989</v>
      </c>
      <c r="I257" s="9" t="s">
        <v>712</v>
      </c>
    </row>
    <row r="258" customFormat="false" ht="15" hidden="false" customHeight="false" outlineLevel="0" collapsed="false">
      <c r="A258" s="9" t="s">
        <v>26</v>
      </c>
      <c r="B258" s="10" t="s">
        <v>546</v>
      </c>
      <c r="C258" s="10" t="s">
        <v>589</v>
      </c>
      <c r="D258" s="9" t="s">
        <v>990</v>
      </c>
      <c r="E258" s="10" t="s">
        <v>707</v>
      </c>
      <c r="F258" s="10" t="s">
        <v>708</v>
      </c>
      <c r="G258" s="9" t="n">
        <v>750.6</v>
      </c>
      <c r="H258" s="10" t="s">
        <v>608</v>
      </c>
      <c r="I258" s="10" t="s">
        <v>710</v>
      </c>
    </row>
    <row r="259" customFormat="false" ht="15" hidden="false" customHeight="false" outlineLevel="0" collapsed="false">
      <c r="A259" s="9" t="s">
        <v>26</v>
      </c>
      <c r="B259" s="10" t="s">
        <v>546</v>
      </c>
      <c r="C259" s="10" t="s">
        <v>589</v>
      </c>
      <c r="D259" s="9" t="s">
        <v>991</v>
      </c>
      <c r="E259" s="10" t="s">
        <v>707</v>
      </c>
      <c r="F259" s="10" t="s">
        <v>708</v>
      </c>
      <c r="G259" s="9" t="n">
        <v>725.9</v>
      </c>
      <c r="H259" s="10" t="s">
        <v>608</v>
      </c>
      <c r="I259" s="10" t="s">
        <v>710</v>
      </c>
    </row>
    <row r="260" customFormat="false" ht="15" hidden="false" customHeight="false" outlineLevel="0" collapsed="false">
      <c r="A260" s="9" t="s">
        <v>26</v>
      </c>
      <c r="B260" s="10" t="s">
        <v>546</v>
      </c>
      <c r="C260" s="10" t="s">
        <v>589</v>
      </c>
      <c r="D260" s="9" t="s">
        <v>992</v>
      </c>
      <c r="E260" s="10" t="s">
        <v>707</v>
      </c>
      <c r="F260" s="10" t="s">
        <v>708</v>
      </c>
      <c r="G260" s="9" t="n">
        <v>1152.9</v>
      </c>
      <c r="H260" s="10" t="s">
        <v>608</v>
      </c>
      <c r="I260" s="9" t="s">
        <v>712</v>
      </c>
    </row>
    <row r="261" customFormat="false" ht="15" hidden="false" customHeight="false" outlineLevel="0" collapsed="false">
      <c r="A261" s="9" t="s">
        <v>26</v>
      </c>
      <c r="B261" s="10" t="s">
        <v>546</v>
      </c>
      <c r="C261" s="10" t="s">
        <v>589</v>
      </c>
      <c r="D261" s="9" t="s">
        <v>993</v>
      </c>
      <c r="E261" s="10" t="s">
        <v>707</v>
      </c>
      <c r="F261" s="10" t="s">
        <v>708</v>
      </c>
      <c r="G261" s="9" t="n">
        <v>3168.2</v>
      </c>
      <c r="H261" s="10" t="s">
        <v>608</v>
      </c>
      <c r="I261" s="10" t="s">
        <v>710</v>
      </c>
    </row>
    <row r="262" customFormat="false" ht="15" hidden="false" customHeight="false" outlineLevel="0" collapsed="false">
      <c r="A262" s="9" t="s">
        <v>26</v>
      </c>
      <c r="B262" s="10" t="s">
        <v>546</v>
      </c>
      <c r="C262" s="10" t="s">
        <v>589</v>
      </c>
      <c r="D262" s="9" t="s">
        <v>994</v>
      </c>
      <c r="E262" s="10" t="s">
        <v>707</v>
      </c>
      <c r="F262" s="10" t="s">
        <v>708</v>
      </c>
      <c r="G262" s="9" t="n">
        <v>3234.9</v>
      </c>
      <c r="H262" s="10" t="s">
        <v>608</v>
      </c>
      <c r="I262" s="10" t="s">
        <v>710</v>
      </c>
    </row>
    <row r="263" customFormat="false" ht="15" hidden="false" customHeight="false" outlineLevel="0" collapsed="false">
      <c r="A263" s="9" t="s">
        <v>26</v>
      </c>
      <c r="B263" s="10" t="s">
        <v>546</v>
      </c>
      <c r="C263" s="10" t="s">
        <v>589</v>
      </c>
      <c r="D263" s="9" t="s">
        <v>995</v>
      </c>
      <c r="E263" s="10" t="s">
        <v>707</v>
      </c>
      <c r="F263" s="10" t="s">
        <v>708</v>
      </c>
      <c r="G263" s="9" t="n">
        <v>289.4</v>
      </c>
      <c r="H263" s="10" t="s">
        <v>608</v>
      </c>
      <c r="I263" s="9" t="s">
        <v>712</v>
      </c>
    </row>
    <row r="264" customFormat="false" ht="15" hidden="false" customHeight="false" outlineLevel="0" collapsed="false">
      <c r="A264" s="9" t="s">
        <v>26</v>
      </c>
      <c r="B264" s="10" t="s">
        <v>546</v>
      </c>
      <c r="C264" s="10" t="s">
        <v>612</v>
      </c>
      <c r="D264" s="9" t="s">
        <v>996</v>
      </c>
      <c r="E264" s="10" t="s">
        <v>707</v>
      </c>
      <c r="F264" s="10" t="s">
        <v>708</v>
      </c>
      <c r="G264" s="9" t="n">
        <v>240.9</v>
      </c>
      <c r="H264" s="10" t="s">
        <v>555</v>
      </c>
      <c r="I264" s="9" t="s">
        <v>712</v>
      </c>
    </row>
    <row r="265" customFormat="false" ht="15" hidden="false" customHeight="false" outlineLevel="0" collapsed="false">
      <c r="A265" s="9" t="s">
        <v>26</v>
      </c>
      <c r="B265" s="10" t="s">
        <v>546</v>
      </c>
      <c r="C265" s="10" t="s">
        <v>612</v>
      </c>
      <c r="D265" s="9" t="s">
        <v>997</v>
      </c>
      <c r="E265" s="10" t="s">
        <v>707</v>
      </c>
      <c r="F265" s="10" t="s">
        <v>708</v>
      </c>
      <c r="G265" s="9" t="n">
        <v>458.5</v>
      </c>
      <c r="H265" s="10" t="s">
        <v>555</v>
      </c>
      <c r="I265" s="9" t="s">
        <v>712</v>
      </c>
    </row>
    <row r="266" customFormat="false" ht="15" hidden="false" customHeight="false" outlineLevel="0" collapsed="false">
      <c r="A266" s="9" t="s">
        <v>26</v>
      </c>
      <c r="B266" s="10" t="s">
        <v>546</v>
      </c>
      <c r="C266" s="10" t="s">
        <v>612</v>
      </c>
      <c r="D266" s="9" t="s">
        <v>998</v>
      </c>
      <c r="E266" s="10" t="s">
        <v>707</v>
      </c>
      <c r="F266" s="10" t="s">
        <v>708</v>
      </c>
      <c r="G266" s="9" t="n">
        <v>637.3</v>
      </c>
      <c r="H266" s="10" t="s">
        <v>555</v>
      </c>
      <c r="I266" s="9" t="s">
        <v>712</v>
      </c>
    </row>
    <row r="267" customFormat="false" ht="15" hidden="false" customHeight="false" outlineLevel="0" collapsed="false">
      <c r="A267" s="9" t="s">
        <v>26</v>
      </c>
      <c r="B267" s="10" t="s">
        <v>546</v>
      </c>
      <c r="C267" s="10" t="s">
        <v>612</v>
      </c>
      <c r="D267" s="9" t="s">
        <v>999</v>
      </c>
      <c r="E267" s="10" t="s">
        <v>707</v>
      </c>
      <c r="F267" s="10" t="s">
        <v>708</v>
      </c>
      <c r="G267" s="9" t="n">
        <v>465.2</v>
      </c>
      <c r="H267" s="10" t="s">
        <v>564</v>
      </c>
      <c r="I267" s="9" t="s">
        <v>712</v>
      </c>
    </row>
    <row r="268" customFormat="false" ht="15" hidden="false" customHeight="false" outlineLevel="0" collapsed="false">
      <c r="A268" s="9" t="s">
        <v>26</v>
      </c>
      <c r="B268" s="10" t="s">
        <v>546</v>
      </c>
      <c r="C268" s="10" t="s">
        <v>612</v>
      </c>
      <c r="D268" s="9" t="s">
        <v>1000</v>
      </c>
      <c r="E268" s="10" t="s">
        <v>707</v>
      </c>
      <c r="F268" s="10" t="s">
        <v>708</v>
      </c>
      <c r="G268" s="9" t="n">
        <v>2017.4</v>
      </c>
      <c r="H268" s="10" t="s">
        <v>555</v>
      </c>
      <c r="I268" s="9" t="s">
        <v>712</v>
      </c>
    </row>
    <row r="269" customFormat="false" ht="15" hidden="false" customHeight="false" outlineLevel="0" collapsed="false">
      <c r="A269" s="9" t="s">
        <v>26</v>
      </c>
      <c r="B269" s="10" t="s">
        <v>546</v>
      </c>
      <c r="C269" s="10" t="s">
        <v>612</v>
      </c>
      <c r="D269" s="9" t="s">
        <v>1001</v>
      </c>
      <c r="E269" s="10" t="s">
        <v>707</v>
      </c>
      <c r="F269" s="10" t="s">
        <v>708</v>
      </c>
      <c r="G269" s="9" t="n">
        <v>432.8</v>
      </c>
      <c r="H269" s="10" t="s">
        <v>555</v>
      </c>
      <c r="I269" s="9" t="s">
        <v>712</v>
      </c>
    </row>
    <row r="270" customFormat="false" ht="15" hidden="false" customHeight="false" outlineLevel="0" collapsed="false">
      <c r="A270" s="9" t="s">
        <v>26</v>
      </c>
      <c r="B270" s="10" t="s">
        <v>546</v>
      </c>
      <c r="C270" s="10" t="s">
        <v>612</v>
      </c>
      <c r="D270" s="9" t="s">
        <v>1002</v>
      </c>
      <c r="E270" s="10" t="s">
        <v>707</v>
      </c>
      <c r="F270" s="10" t="s">
        <v>708</v>
      </c>
      <c r="G270" s="9" t="n">
        <v>255.4</v>
      </c>
      <c r="H270" s="10" t="s">
        <v>555</v>
      </c>
      <c r="I270" s="9" t="s">
        <v>712</v>
      </c>
    </row>
    <row r="271" customFormat="false" ht="15" hidden="false" customHeight="false" outlineLevel="0" collapsed="false">
      <c r="A271" s="9" t="s">
        <v>26</v>
      </c>
      <c r="B271" s="10" t="s">
        <v>625</v>
      </c>
      <c r="C271" s="10" t="s">
        <v>626</v>
      </c>
      <c r="D271" s="10" t="s">
        <v>971</v>
      </c>
      <c r="E271" s="10" t="s">
        <v>707</v>
      </c>
      <c r="F271" s="10" t="s">
        <v>708</v>
      </c>
      <c r="G271" s="9" t="n">
        <v>1022.5</v>
      </c>
      <c r="H271" s="10" t="s">
        <v>646</v>
      </c>
      <c r="I271" s="9" t="s">
        <v>712</v>
      </c>
    </row>
    <row r="272" customFormat="false" ht="15" hidden="false" customHeight="false" outlineLevel="0" collapsed="false">
      <c r="A272" s="9" t="s">
        <v>26</v>
      </c>
      <c r="B272" s="10" t="s">
        <v>625</v>
      </c>
      <c r="C272" s="10" t="s">
        <v>626</v>
      </c>
      <c r="D272" s="10" t="s">
        <v>972</v>
      </c>
      <c r="E272" s="10" t="s">
        <v>707</v>
      </c>
      <c r="F272" s="10" t="s">
        <v>708</v>
      </c>
      <c r="G272" s="9" t="n">
        <v>814</v>
      </c>
      <c r="H272" s="10" t="s">
        <v>630</v>
      </c>
      <c r="I272" s="10" t="s">
        <v>710</v>
      </c>
    </row>
    <row r="273" customFormat="false" ht="15" hidden="false" customHeight="false" outlineLevel="0" collapsed="false">
      <c r="A273" s="9" t="s">
        <v>26</v>
      </c>
      <c r="B273" s="10" t="s">
        <v>625</v>
      </c>
      <c r="C273" s="10" t="s">
        <v>626</v>
      </c>
      <c r="D273" s="10" t="s">
        <v>1003</v>
      </c>
      <c r="E273" s="10" t="s">
        <v>707</v>
      </c>
      <c r="F273" s="10" t="s">
        <v>708</v>
      </c>
      <c r="G273" s="9" t="n">
        <v>461.1</v>
      </c>
      <c r="H273" s="10" t="s">
        <v>1004</v>
      </c>
      <c r="I273" s="10" t="s">
        <v>710</v>
      </c>
    </row>
    <row r="274" customFormat="false" ht="15" hidden="false" customHeight="false" outlineLevel="0" collapsed="false">
      <c r="A274" s="9" t="s">
        <v>26</v>
      </c>
      <c r="B274" s="10" t="s">
        <v>625</v>
      </c>
      <c r="C274" s="10" t="s">
        <v>626</v>
      </c>
      <c r="D274" s="10" t="s">
        <v>1005</v>
      </c>
      <c r="E274" s="10" t="s">
        <v>707</v>
      </c>
      <c r="F274" s="10" t="s">
        <v>708</v>
      </c>
      <c r="G274" s="9" t="n">
        <v>445.4</v>
      </c>
      <c r="H274" s="10" t="s">
        <v>1006</v>
      </c>
      <c r="I274" s="10" t="s">
        <v>710</v>
      </c>
    </row>
    <row r="275" customFormat="false" ht="15" hidden="false" customHeight="false" outlineLevel="0" collapsed="false">
      <c r="A275" s="9" t="s">
        <v>26</v>
      </c>
      <c r="B275" s="10" t="s">
        <v>625</v>
      </c>
      <c r="C275" s="10" t="s">
        <v>626</v>
      </c>
      <c r="D275" s="10" t="s">
        <v>1007</v>
      </c>
      <c r="E275" s="10" t="s">
        <v>707</v>
      </c>
      <c r="F275" s="10" t="s">
        <v>708</v>
      </c>
      <c r="G275" s="9" t="n">
        <v>70.5</v>
      </c>
      <c r="H275" s="10" t="s">
        <v>639</v>
      </c>
      <c r="I275" s="9" t="s">
        <v>712</v>
      </c>
    </row>
    <row r="276" customFormat="false" ht="15" hidden="false" customHeight="false" outlineLevel="0" collapsed="false">
      <c r="A276" s="9" t="s">
        <v>26</v>
      </c>
      <c r="B276" s="10" t="s">
        <v>625</v>
      </c>
      <c r="C276" s="10" t="s">
        <v>626</v>
      </c>
      <c r="D276" s="10" t="s">
        <v>1008</v>
      </c>
      <c r="E276" s="10" t="s">
        <v>707</v>
      </c>
      <c r="F276" s="10" t="s">
        <v>708</v>
      </c>
      <c r="G276" s="9" t="n">
        <v>518.2</v>
      </c>
      <c r="H276" s="10" t="s">
        <v>637</v>
      </c>
      <c r="I276" s="10" t="s">
        <v>710</v>
      </c>
    </row>
    <row r="277" customFormat="false" ht="15" hidden="false" customHeight="false" outlineLevel="0" collapsed="false">
      <c r="A277" s="9" t="s">
        <v>26</v>
      </c>
      <c r="B277" s="10" t="s">
        <v>625</v>
      </c>
      <c r="C277" s="10" t="s">
        <v>626</v>
      </c>
      <c r="D277" s="10" t="s">
        <v>1009</v>
      </c>
      <c r="E277" s="10" t="s">
        <v>707</v>
      </c>
      <c r="F277" s="10" t="s">
        <v>708</v>
      </c>
      <c r="G277" s="9" t="n">
        <v>418.7</v>
      </c>
      <c r="H277" s="10" t="s">
        <v>1010</v>
      </c>
      <c r="I277" s="10" t="s">
        <v>710</v>
      </c>
    </row>
    <row r="278" customFormat="false" ht="15" hidden="false" customHeight="false" outlineLevel="0" collapsed="false">
      <c r="A278" s="9" t="s">
        <v>26</v>
      </c>
      <c r="B278" s="10" t="s">
        <v>625</v>
      </c>
      <c r="C278" s="10" t="s">
        <v>626</v>
      </c>
      <c r="D278" s="10" t="s">
        <v>1011</v>
      </c>
      <c r="E278" s="10" t="s">
        <v>707</v>
      </c>
      <c r="F278" s="10" t="s">
        <v>708</v>
      </c>
      <c r="G278" s="9" t="n">
        <v>847.3</v>
      </c>
      <c r="H278" s="10" t="s">
        <v>1012</v>
      </c>
      <c r="I278" s="10" t="s">
        <v>710</v>
      </c>
    </row>
    <row r="279" customFormat="false" ht="15" hidden="false" customHeight="false" outlineLevel="0" collapsed="false">
      <c r="A279" s="9" t="s">
        <v>26</v>
      </c>
      <c r="B279" s="10" t="s">
        <v>625</v>
      </c>
      <c r="C279" s="10" t="s">
        <v>626</v>
      </c>
      <c r="D279" s="10" t="s">
        <v>1013</v>
      </c>
      <c r="E279" s="10" t="s">
        <v>707</v>
      </c>
      <c r="F279" s="10" t="s">
        <v>708</v>
      </c>
      <c r="G279" s="9" t="n">
        <v>309.3</v>
      </c>
      <c r="H279" s="10" t="s">
        <v>204</v>
      </c>
      <c r="I279" s="10" t="s">
        <v>710</v>
      </c>
    </row>
    <row r="280" customFormat="false" ht="15" hidden="false" customHeight="false" outlineLevel="0" collapsed="false">
      <c r="A280" s="9" t="s">
        <v>26</v>
      </c>
      <c r="B280" s="10" t="s">
        <v>625</v>
      </c>
      <c r="C280" s="10" t="s">
        <v>626</v>
      </c>
      <c r="D280" s="10" t="s">
        <v>1014</v>
      </c>
      <c r="E280" s="10" t="s">
        <v>707</v>
      </c>
      <c r="F280" s="10" t="s">
        <v>708</v>
      </c>
      <c r="G280" s="9" t="n">
        <v>84.7</v>
      </c>
      <c r="H280" s="10" t="s">
        <v>646</v>
      </c>
      <c r="I280" s="10" t="s">
        <v>710</v>
      </c>
    </row>
    <row r="281" customFormat="false" ht="15" hidden="false" customHeight="false" outlineLevel="0" collapsed="false">
      <c r="A281" s="9" t="s">
        <v>26</v>
      </c>
      <c r="B281" s="10" t="s">
        <v>625</v>
      </c>
      <c r="C281" s="10" t="s">
        <v>626</v>
      </c>
      <c r="D281" s="10" t="s">
        <v>1015</v>
      </c>
      <c r="E281" s="10" t="s">
        <v>707</v>
      </c>
      <c r="F281" s="10" t="s">
        <v>708</v>
      </c>
      <c r="G281" s="9" t="n">
        <v>696.6</v>
      </c>
      <c r="H281" s="10" t="s">
        <v>191</v>
      </c>
      <c r="I281" s="10" t="s">
        <v>710</v>
      </c>
    </row>
    <row r="282" customFormat="false" ht="15" hidden="false" customHeight="false" outlineLevel="0" collapsed="false">
      <c r="A282" s="9" t="s">
        <v>26</v>
      </c>
      <c r="B282" s="10" t="s">
        <v>625</v>
      </c>
      <c r="C282" s="10" t="s">
        <v>626</v>
      </c>
      <c r="D282" s="10" t="s">
        <v>1016</v>
      </c>
      <c r="E282" s="10" t="s">
        <v>707</v>
      </c>
      <c r="F282" s="10" t="s">
        <v>708</v>
      </c>
      <c r="G282" s="9" t="n">
        <v>58.4</v>
      </c>
      <c r="H282" s="10" t="s">
        <v>183</v>
      </c>
      <c r="I282" s="10" t="s">
        <v>710</v>
      </c>
    </row>
    <row r="283" customFormat="false" ht="15" hidden="false" customHeight="false" outlineLevel="0" collapsed="false">
      <c r="A283" s="9" t="s">
        <v>26</v>
      </c>
      <c r="B283" s="10" t="s">
        <v>625</v>
      </c>
      <c r="C283" s="10" t="s">
        <v>626</v>
      </c>
      <c r="D283" s="10" t="s">
        <v>1017</v>
      </c>
      <c r="E283" s="10" t="s">
        <v>707</v>
      </c>
      <c r="F283" s="10" t="s">
        <v>708</v>
      </c>
      <c r="G283" s="9" t="n">
        <v>714.1</v>
      </c>
      <c r="H283" s="10" t="s">
        <v>646</v>
      </c>
      <c r="I283" s="9" t="s">
        <v>712</v>
      </c>
    </row>
    <row r="284" customFormat="false" ht="15" hidden="false" customHeight="false" outlineLevel="0" collapsed="false">
      <c r="A284" s="9" t="s">
        <v>26</v>
      </c>
      <c r="B284" s="10" t="s">
        <v>625</v>
      </c>
      <c r="C284" s="10" t="s">
        <v>626</v>
      </c>
      <c r="D284" s="9" t="s">
        <v>1018</v>
      </c>
      <c r="E284" s="10" t="s">
        <v>707</v>
      </c>
      <c r="F284" s="10" t="s">
        <v>708</v>
      </c>
      <c r="G284" s="9" t="n">
        <v>404.4</v>
      </c>
      <c r="H284" s="10" t="s">
        <v>202</v>
      </c>
      <c r="I284" s="10" t="s">
        <v>710</v>
      </c>
    </row>
    <row r="285" customFormat="false" ht="15" hidden="false" customHeight="false" outlineLevel="0" collapsed="false">
      <c r="A285" s="9" t="s">
        <v>26</v>
      </c>
      <c r="B285" s="10" t="s">
        <v>69</v>
      </c>
      <c r="C285" s="10" t="s">
        <v>647</v>
      </c>
      <c r="D285" s="9" t="s">
        <v>1019</v>
      </c>
      <c r="E285" s="10" t="s">
        <v>707</v>
      </c>
      <c r="F285" s="10" t="s">
        <v>708</v>
      </c>
      <c r="G285" s="9" t="n">
        <v>118.6</v>
      </c>
      <c r="H285" s="10" t="s">
        <v>422</v>
      </c>
      <c r="I285" s="10" t="s">
        <v>710</v>
      </c>
    </row>
    <row r="286" customFormat="false" ht="15" hidden="false" customHeight="false" outlineLevel="0" collapsed="false">
      <c r="A286" s="9" t="s">
        <v>26</v>
      </c>
      <c r="B286" s="10" t="s">
        <v>69</v>
      </c>
      <c r="C286" s="10" t="s">
        <v>647</v>
      </c>
      <c r="D286" s="9" t="s">
        <v>1020</v>
      </c>
      <c r="E286" s="10" t="s">
        <v>707</v>
      </c>
      <c r="F286" s="10" t="s">
        <v>708</v>
      </c>
      <c r="G286" s="9" t="n">
        <v>868.3</v>
      </c>
      <c r="H286" s="10" t="s">
        <v>1021</v>
      </c>
      <c r="I286" s="10" t="s">
        <v>710</v>
      </c>
    </row>
    <row r="287" customFormat="false" ht="15" hidden="false" customHeight="false" outlineLevel="0" collapsed="false">
      <c r="A287" s="9" t="s">
        <v>26</v>
      </c>
      <c r="B287" s="10" t="s">
        <v>69</v>
      </c>
      <c r="C287" s="10" t="s">
        <v>647</v>
      </c>
      <c r="D287" s="9" t="s">
        <v>1022</v>
      </c>
      <c r="E287" s="10" t="s">
        <v>707</v>
      </c>
      <c r="F287" s="10" t="s">
        <v>708</v>
      </c>
      <c r="G287" s="9" t="n">
        <v>868.3</v>
      </c>
      <c r="H287" s="10" t="s">
        <v>1021</v>
      </c>
      <c r="I287" s="10" t="s">
        <v>710</v>
      </c>
    </row>
    <row r="288" customFormat="false" ht="15" hidden="false" customHeight="false" outlineLevel="0" collapsed="false">
      <c r="A288" s="9" t="s">
        <v>26</v>
      </c>
      <c r="B288" s="10" t="s">
        <v>651</v>
      </c>
      <c r="C288" s="10" t="s">
        <v>652</v>
      </c>
      <c r="D288" s="10" t="s">
        <v>1023</v>
      </c>
      <c r="E288" s="10" t="s">
        <v>707</v>
      </c>
      <c r="F288" s="10" t="s">
        <v>708</v>
      </c>
      <c r="G288" s="9" t="n">
        <v>24.5</v>
      </c>
      <c r="H288" s="10" t="s">
        <v>654</v>
      </c>
      <c r="I288" s="9" t="s">
        <v>712</v>
      </c>
    </row>
    <row r="289" customFormat="false" ht="15" hidden="false" customHeight="false" outlineLevel="0" collapsed="false">
      <c r="A289" s="9" t="s">
        <v>26</v>
      </c>
      <c r="B289" s="10" t="s">
        <v>651</v>
      </c>
      <c r="C289" s="10" t="s">
        <v>652</v>
      </c>
      <c r="D289" s="10" t="s">
        <v>1008</v>
      </c>
      <c r="E289" s="10" t="s">
        <v>707</v>
      </c>
      <c r="F289" s="10" t="s">
        <v>708</v>
      </c>
      <c r="G289" s="9" t="n">
        <v>514.2</v>
      </c>
      <c r="H289" s="10" t="s">
        <v>656</v>
      </c>
      <c r="I289" s="10" t="s">
        <v>710</v>
      </c>
    </row>
    <row r="290" customFormat="false" ht="15" hidden="false" customHeight="false" outlineLevel="0" collapsed="false">
      <c r="A290" s="9" t="s">
        <v>26</v>
      </c>
      <c r="B290" s="10" t="s">
        <v>651</v>
      </c>
      <c r="C290" s="10" t="s">
        <v>652</v>
      </c>
      <c r="D290" s="10" t="s">
        <v>1024</v>
      </c>
      <c r="E290" s="10" t="s">
        <v>707</v>
      </c>
      <c r="F290" s="10" t="s">
        <v>708</v>
      </c>
      <c r="G290" s="9" t="n">
        <v>847.3</v>
      </c>
      <c r="H290" s="10" t="s">
        <v>1012</v>
      </c>
      <c r="I290" s="10" t="s">
        <v>710</v>
      </c>
    </row>
    <row r="291" customFormat="false" ht="15" hidden="false" customHeight="false" outlineLevel="0" collapsed="false">
      <c r="A291" s="9" t="s">
        <v>26</v>
      </c>
      <c r="B291" s="10" t="s">
        <v>651</v>
      </c>
      <c r="C291" s="10" t="s">
        <v>652</v>
      </c>
      <c r="D291" s="10" t="s">
        <v>1025</v>
      </c>
      <c r="E291" s="10" t="s">
        <v>707</v>
      </c>
      <c r="F291" s="10" t="s">
        <v>708</v>
      </c>
      <c r="G291" s="9" t="n">
        <v>1760</v>
      </c>
      <c r="H291" s="10" t="s">
        <v>665</v>
      </c>
      <c r="I291" s="9" t="s">
        <v>712</v>
      </c>
    </row>
    <row r="292" customFormat="false" ht="15" hidden="false" customHeight="false" outlineLevel="0" collapsed="false">
      <c r="A292" s="9" t="s">
        <v>26</v>
      </c>
      <c r="B292" s="10" t="s">
        <v>651</v>
      </c>
      <c r="C292" s="10" t="s">
        <v>652</v>
      </c>
      <c r="D292" s="10" t="s">
        <v>1026</v>
      </c>
      <c r="E292" s="10" t="s">
        <v>707</v>
      </c>
      <c r="F292" s="10" t="s">
        <v>708</v>
      </c>
      <c r="G292" s="9" t="n">
        <v>2381.8</v>
      </c>
      <c r="H292" s="10" t="s">
        <v>1027</v>
      </c>
      <c r="I292" s="9" t="s">
        <v>712</v>
      </c>
    </row>
    <row r="293" customFormat="false" ht="15" hidden="false" customHeight="false" outlineLevel="0" collapsed="false">
      <c r="A293" s="9" t="s">
        <v>26</v>
      </c>
      <c r="B293" s="10" t="s">
        <v>651</v>
      </c>
      <c r="C293" s="10" t="s">
        <v>652</v>
      </c>
      <c r="D293" s="10" t="s">
        <v>1028</v>
      </c>
      <c r="E293" s="10" t="s">
        <v>707</v>
      </c>
      <c r="F293" s="10" t="s">
        <v>708</v>
      </c>
      <c r="G293" s="9" t="n">
        <v>965.4</v>
      </c>
      <c r="H293" s="10" t="s">
        <v>1029</v>
      </c>
      <c r="I293" s="10" t="s">
        <v>710</v>
      </c>
    </row>
    <row r="294" customFormat="false" ht="15" hidden="false" customHeight="false" outlineLevel="0" collapsed="false">
      <c r="A294" s="9" t="s">
        <v>26</v>
      </c>
      <c r="B294" s="10" t="s">
        <v>651</v>
      </c>
      <c r="C294" s="10" t="s">
        <v>652</v>
      </c>
      <c r="D294" s="10" t="s">
        <v>1030</v>
      </c>
      <c r="E294" s="10" t="s">
        <v>707</v>
      </c>
      <c r="F294" s="10" t="s">
        <v>708</v>
      </c>
      <c r="G294" s="9" t="n">
        <v>753.8</v>
      </c>
      <c r="H294" s="10" t="s">
        <v>656</v>
      </c>
      <c r="I294" s="10" t="s">
        <v>710</v>
      </c>
    </row>
    <row r="295" customFormat="false" ht="15" hidden="false" customHeight="false" outlineLevel="0" collapsed="false">
      <c r="A295" s="9" t="s">
        <v>26</v>
      </c>
      <c r="B295" s="10" t="s">
        <v>651</v>
      </c>
      <c r="C295" s="10" t="s">
        <v>652</v>
      </c>
      <c r="D295" s="10" t="s">
        <v>1031</v>
      </c>
      <c r="E295" s="10" t="s">
        <v>707</v>
      </c>
      <c r="F295" s="10" t="s">
        <v>708</v>
      </c>
      <c r="G295" s="9" t="n">
        <v>739.4</v>
      </c>
      <c r="H295" s="10" t="s">
        <v>656</v>
      </c>
      <c r="I295" s="9" t="s">
        <v>712</v>
      </c>
    </row>
    <row r="296" customFormat="false" ht="15" hidden="false" customHeight="false" outlineLevel="0" collapsed="false">
      <c r="A296" s="9" t="s">
        <v>26</v>
      </c>
      <c r="B296" s="10" t="s">
        <v>651</v>
      </c>
      <c r="C296" s="10" t="s">
        <v>652</v>
      </c>
      <c r="D296" s="10" t="s">
        <v>1032</v>
      </c>
      <c r="E296" s="10" t="s">
        <v>707</v>
      </c>
      <c r="F296" s="10" t="s">
        <v>708</v>
      </c>
      <c r="G296" s="9" t="n">
        <v>740</v>
      </c>
      <c r="H296" s="10" t="s">
        <v>656</v>
      </c>
      <c r="I296" s="10" t="s">
        <v>710</v>
      </c>
    </row>
    <row r="297" customFormat="false" ht="15" hidden="false" customHeight="false" outlineLevel="0" collapsed="false">
      <c r="A297" s="9" t="s">
        <v>26</v>
      </c>
      <c r="B297" s="10" t="s">
        <v>651</v>
      </c>
      <c r="C297" s="10" t="s">
        <v>652</v>
      </c>
      <c r="D297" s="10" t="s">
        <v>1033</v>
      </c>
      <c r="E297" s="10" t="s">
        <v>707</v>
      </c>
      <c r="F297" s="10" t="s">
        <v>708</v>
      </c>
      <c r="G297" s="9" t="n">
        <v>702.8</v>
      </c>
      <c r="H297" s="10" t="s">
        <v>658</v>
      </c>
      <c r="I297" s="9" t="s">
        <v>712</v>
      </c>
    </row>
    <row r="298" customFormat="false" ht="15" hidden="false" customHeight="false" outlineLevel="0" collapsed="false">
      <c r="A298" s="9" t="s">
        <v>26</v>
      </c>
      <c r="B298" s="10" t="s">
        <v>651</v>
      </c>
      <c r="C298" s="10" t="s">
        <v>652</v>
      </c>
      <c r="D298" s="10" t="s">
        <v>1034</v>
      </c>
      <c r="E298" s="10" t="s">
        <v>707</v>
      </c>
      <c r="F298" s="10" t="s">
        <v>708</v>
      </c>
      <c r="G298" s="9" t="n">
        <v>703.4</v>
      </c>
      <c r="H298" s="10" t="s">
        <v>658</v>
      </c>
      <c r="I298" s="9" t="s">
        <v>712</v>
      </c>
    </row>
    <row r="299" customFormat="false" ht="15" hidden="false" customHeight="false" outlineLevel="0" collapsed="false">
      <c r="A299" s="9" t="s">
        <v>26</v>
      </c>
      <c r="B299" s="10" t="s">
        <v>651</v>
      </c>
      <c r="C299" s="10" t="s">
        <v>652</v>
      </c>
      <c r="D299" s="10" t="s">
        <v>1035</v>
      </c>
      <c r="E299" s="10" t="s">
        <v>707</v>
      </c>
      <c r="F299" s="10" t="s">
        <v>708</v>
      </c>
      <c r="G299" s="9" t="n">
        <v>341.1</v>
      </c>
      <c r="H299" s="10" t="s">
        <v>1027</v>
      </c>
      <c r="I299" s="9" t="s">
        <v>712</v>
      </c>
    </row>
    <row r="300" customFormat="false" ht="15" hidden="false" customHeight="false" outlineLevel="0" collapsed="false">
      <c r="A300" s="9" t="s">
        <v>26</v>
      </c>
      <c r="B300" s="10" t="s">
        <v>651</v>
      </c>
      <c r="C300" s="10" t="s">
        <v>652</v>
      </c>
      <c r="D300" s="10" t="s">
        <v>1036</v>
      </c>
      <c r="E300" s="10" t="s">
        <v>707</v>
      </c>
      <c r="F300" s="10" t="s">
        <v>708</v>
      </c>
      <c r="G300" s="9" t="n">
        <v>392.3</v>
      </c>
      <c r="H300" s="10" t="s">
        <v>670</v>
      </c>
      <c r="I300" s="10" t="s">
        <v>710</v>
      </c>
    </row>
    <row r="301" customFormat="false" ht="15" hidden="false" customHeight="false" outlineLevel="0" collapsed="false">
      <c r="A301" s="9" t="s">
        <v>26</v>
      </c>
      <c r="B301" s="10" t="s">
        <v>651</v>
      </c>
      <c r="C301" s="10" t="s">
        <v>652</v>
      </c>
      <c r="D301" s="10" t="s">
        <v>1037</v>
      </c>
      <c r="E301" s="10" t="s">
        <v>707</v>
      </c>
      <c r="F301" s="10" t="s">
        <v>708</v>
      </c>
      <c r="G301" s="9" t="n">
        <v>377.9</v>
      </c>
      <c r="H301" s="10" t="s">
        <v>670</v>
      </c>
      <c r="I301" s="9" t="s">
        <v>712</v>
      </c>
    </row>
    <row r="302" customFormat="false" ht="15" hidden="false" customHeight="false" outlineLevel="0" collapsed="false">
      <c r="A302" s="9" t="s">
        <v>26</v>
      </c>
      <c r="B302" s="10" t="s">
        <v>651</v>
      </c>
      <c r="C302" s="10" t="s">
        <v>652</v>
      </c>
      <c r="D302" s="10" t="s">
        <v>1038</v>
      </c>
      <c r="E302" s="10" t="s">
        <v>707</v>
      </c>
      <c r="F302" s="10" t="s">
        <v>708</v>
      </c>
      <c r="G302" s="9" t="n">
        <v>412.9</v>
      </c>
      <c r="H302" s="10" t="s">
        <v>670</v>
      </c>
      <c r="I302" s="10" t="s">
        <v>710</v>
      </c>
    </row>
    <row r="303" customFormat="false" ht="15" hidden="false" customHeight="false" outlineLevel="0" collapsed="false">
      <c r="A303" s="9" t="s">
        <v>26</v>
      </c>
      <c r="B303" s="10" t="s">
        <v>651</v>
      </c>
      <c r="C303" s="10" t="s">
        <v>652</v>
      </c>
      <c r="D303" s="10" t="s">
        <v>1039</v>
      </c>
      <c r="E303" s="10" t="s">
        <v>707</v>
      </c>
      <c r="F303" s="10" t="s">
        <v>708</v>
      </c>
      <c r="G303" s="9" t="n">
        <v>24.8</v>
      </c>
      <c r="H303" s="10" t="s">
        <v>670</v>
      </c>
      <c r="I303" s="9" t="s">
        <v>712</v>
      </c>
    </row>
    <row r="304" customFormat="false" ht="15" hidden="false" customHeight="false" outlineLevel="0" collapsed="false">
      <c r="A304" s="9" t="s">
        <v>26</v>
      </c>
      <c r="B304" s="10" t="s">
        <v>651</v>
      </c>
      <c r="C304" s="10" t="s">
        <v>652</v>
      </c>
      <c r="D304" s="10" t="s">
        <v>1040</v>
      </c>
      <c r="E304" s="10" t="s">
        <v>707</v>
      </c>
      <c r="F304" s="10" t="s">
        <v>708</v>
      </c>
      <c r="G304" s="9" t="n">
        <v>58.6</v>
      </c>
      <c r="H304" s="10" t="s">
        <v>81</v>
      </c>
      <c r="I304" s="9" t="s">
        <v>712</v>
      </c>
    </row>
    <row r="305" customFormat="false" ht="15" hidden="false" customHeight="false" outlineLevel="0" collapsed="false">
      <c r="A305" s="9" t="s">
        <v>26</v>
      </c>
      <c r="B305" s="10" t="s">
        <v>651</v>
      </c>
      <c r="C305" s="10" t="s">
        <v>652</v>
      </c>
      <c r="D305" s="10" t="s">
        <v>1041</v>
      </c>
      <c r="E305" s="10" t="s">
        <v>707</v>
      </c>
      <c r="F305" s="10" t="s">
        <v>708</v>
      </c>
      <c r="G305" s="9" t="n">
        <v>34.2</v>
      </c>
      <c r="H305" s="10" t="s">
        <v>81</v>
      </c>
      <c r="I305" s="9" t="s">
        <v>712</v>
      </c>
    </row>
    <row r="306" customFormat="false" ht="15" hidden="false" customHeight="false" outlineLevel="0" collapsed="false">
      <c r="A306" s="9" t="s">
        <v>26</v>
      </c>
      <c r="B306" s="10" t="s">
        <v>651</v>
      </c>
      <c r="C306" s="10" t="s">
        <v>652</v>
      </c>
      <c r="D306" s="10" t="s">
        <v>1042</v>
      </c>
      <c r="E306" s="10" t="s">
        <v>707</v>
      </c>
      <c r="F306" s="10" t="s">
        <v>708</v>
      </c>
      <c r="G306" s="9" t="n">
        <v>30.7</v>
      </c>
      <c r="H306" s="10" t="s">
        <v>675</v>
      </c>
      <c r="I306" s="9" t="s">
        <v>712</v>
      </c>
    </row>
    <row r="307" customFormat="false" ht="15" hidden="false" customHeight="false" outlineLevel="0" collapsed="false">
      <c r="A307" s="9" t="s">
        <v>26</v>
      </c>
      <c r="B307" s="10" t="s">
        <v>651</v>
      </c>
      <c r="C307" s="10" t="s">
        <v>652</v>
      </c>
      <c r="D307" s="9" t="s">
        <v>1043</v>
      </c>
      <c r="E307" s="10" t="s">
        <v>707</v>
      </c>
      <c r="F307" s="10" t="s">
        <v>708</v>
      </c>
      <c r="G307" s="9" t="n">
        <v>1839.5</v>
      </c>
      <c r="H307" s="10" t="s">
        <v>675</v>
      </c>
      <c r="I307" s="9" t="s">
        <v>712</v>
      </c>
    </row>
    <row r="308" customFormat="false" ht="15" hidden="false" customHeight="false" outlineLevel="0" collapsed="false">
      <c r="A308" s="9" t="s">
        <v>26</v>
      </c>
      <c r="B308" s="10" t="s">
        <v>651</v>
      </c>
      <c r="C308" s="10" t="s">
        <v>652</v>
      </c>
      <c r="D308" s="9" t="s">
        <v>1044</v>
      </c>
      <c r="E308" s="10" t="s">
        <v>707</v>
      </c>
      <c r="F308" s="10" t="s">
        <v>708</v>
      </c>
      <c r="G308" s="9" t="n">
        <v>2137.1</v>
      </c>
      <c r="H308" s="10" t="s">
        <v>680</v>
      </c>
      <c r="I308" s="9" t="s">
        <v>712</v>
      </c>
    </row>
    <row r="309" customFormat="false" ht="15" hidden="false" customHeight="false" outlineLevel="0" collapsed="false">
      <c r="A309" s="9" t="s">
        <v>26</v>
      </c>
      <c r="B309" s="10" t="s">
        <v>651</v>
      </c>
      <c r="C309" s="10" t="s">
        <v>652</v>
      </c>
      <c r="D309" s="9" t="s">
        <v>1045</v>
      </c>
      <c r="E309" s="10" t="s">
        <v>707</v>
      </c>
      <c r="F309" s="10" t="s">
        <v>708</v>
      </c>
      <c r="G309" s="9" t="n">
        <v>1891.9</v>
      </c>
      <c r="H309" s="10" t="s">
        <v>1046</v>
      </c>
      <c r="I309" s="9" t="s">
        <v>712</v>
      </c>
    </row>
    <row r="310" customFormat="false" ht="15" hidden="false" customHeight="false" outlineLevel="0" collapsed="false">
      <c r="A310" s="9" t="s">
        <v>26</v>
      </c>
      <c r="B310" s="10" t="s">
        <v>104</v>
      </c>
      <c r="C310" s="10" t="s">
        <v>306</v>
      </c>
      <c r="D310" s="10" t="s">
        <v>1047</v>
      </c>
      <c r="E310" s="10" t="s">
        <v>707</v>
      </c>
      <c r="F310" s="10" t="s">
        <v>708</v>
      </c>
      <c r="G310" s="9" t="n">
        <v>1827.4</v>
      </c>
      <c r="H310" s="10" t="s">
        <v>350</v>
      </c>
      <c r="I310" s="9" t="s">
        <v>712</v>
      </c>
    </row>
    <row r="311" customFormat="false" ht="15" hidden="false" customHeight="false" outlineLevel="0" collapsed="false">
      <c r="A311" s="9" t="s">
        <v>26</v>
      </c>
      <c r="B311" s="10" t="s">
        <v>104</v>
      </c>
      <c r="C311" s="10" t="s">
        <v>306</v>
      </c>
      <c r="D311" s="10" t="s">
        <v>1048</v>
      </c>
      <c r="E311" s="10" t="s">
        <v>707</v>
      </c>
      <c r="F311" s="10" t="s">
        <v>708</v>
      </c>
      <c r="G311" s="9" t="n">
        <v>2213.3</v>
      </c>
      <c r="H311" s="10" t="s">
        <v>425</v>
      </c>
      <c r="I311" s="10" t="s">
        <v>710</v>
      </c>
    </row>
    <row r="312" customFormat="false" ht="15" hidden="false" customHeight="false" outlineLevel="0" collapsed="false">
      <c r="A312" s="9" t="s">
        <v>27</v>
      </c>
      <c r="B312" s="10" t="s">
        <v>69</v>
      </c>
      <c r="C312" s="10" t="s">
        <v>647</v>
      </c>
      <c r="D312" s="10" t="s">
        <v>1049</v>
      </c>
      <c r="E312" s="10" t="s">
        <v>707</v>
      </c>
      <c r="F312" s="10" t="s">
        <v>708</v>
      </c>
      <c r="G312" s="9" t="n">
        <v>808.4</v>
      </c>
      <c r="H312" s="10" t="s">
        <v>1050</v>
      </c>
      <c r="I312" s="10" t="s">
        <v>710</v>
      </c>
    </row>
    <row r="313" customFormat="false" ht="15" hidden="false" customHeight="false" outlineLevel="0" collapsed="false">
      <c r="A313" s="9" t="s">
        <v>27</v>
      </c>
      <c r="B313" s="10" t="s">
        <v>69</v>
      </c>
      <c r="C313" s="10" t="s">
        <v>647</v>
      </c>
      <c r="D313" s="10" t="s">
        <v>1051</v>
      </c>
      <c r="E313" s="10" t="s">
        <v>707</v>
      </c>
      <c r="F313" s="10" t="s">
        <v>708</v>
      </c>
      <c r="G313" s="9" t="n">
        <v>49.8</v>
      </c>
      <c r="H313" s="10" t="s">
        <v>1052</v>
      </c>
      <c r="I313" s="10" t="s">
        <v>710</v>
      </c>
    </row>
    <row r="314" customFormat="false" ht="15" hidden="false" customHeight="false" outlineLevel="0" collapsed="false">
      <c r="A314" s="9" t="s">
        <v>27</v>
      </c>
      <c r="B314" s="10" t="s">
        <v>69</v>
      </c>
      <c r="C314" s="10" t="s">
        <v>647</v>
      </c>
      <c r="D314" s="10" t="s">
        <v>1053</v>
      </c>
      <c r="E314" s="10" t="s">
        <v>707</v>
      </c>
      <c r="F314" s="10" t="s">
        <v>708</v>
      </c>
      <c r="G314" s="9" t="n">
        <v>25.7</v>
      </c>
      <c r="H314" s="10" t="s">
        <v>1054</v>
      </c>
      <c r="I314" s="10" t="s">
        <v>710</v>
      </c>
    </row>
    <row r="315" customFormat="false" ht="15" hidden="false" customHeight="false" outlineLevel="0" collapsed="false">
      <c r="A315" s="9" t="s">
        <v>27</v>
      </c>
      <c r="B315" s="10" t="s">
        <v>69</v>
      </c>
      <c r="C315" s="10" t="s">
        <v>647</v>
      </c>
      <c r="D315" s="10" t="s">
        <v>1055</v>
      </c>
      <c r="E315" s="10" t="s">
        <v>707</v>
      </c>
      <c r="F315" s="10" t="s">
        <v>708</v>
      </c>
      <c r="G315" s="9" t="n">
        <v>34.4</v>
      </c>
      <c r="H315" s="10" t="s">
        <v>1050</v>
      </c>
      <c r="I315" s="10" t="s">
        <v>710</v>
      </c>
    </row>
    <row r="316" customFormat="false" ht="15" hidden="false" customHeight="false" outlineLevel="0" collapsed="false">
      <c r="A316" s="9" t="s">
        <v>27</v>
      </c>
      <c r="B316" s="10" t="s">
        <v>69</v>
      </c>
      <c r="C316" s="10" t="s">
        <v>647</v>
      </c>
      <c r="D316" s="10" t="s">
        <v>1056</v>
      </c>
      <c r="E316" s="10" t="s">
        <v>707</v>
      </c>
      <c r="F316" s="10" t="s">
        <v>708</v>
      </c>
      <c r="G316" s="9" t="n">
        <v>91.5</v>
      </c>
      <c r="H316" s="10" t="s">
        <v>703</v>
      </c>
      <c r="I316" s="10" t="s">
        <v>710</v>
      </c>
    </row>
    <row r="317" customFormat="false" ht="15" hidden="false" customHeight="false" outlineLevel="0" collapsed="false">
      <c r="A317" s="9" t="s">
        <v>27</v>
      </c>
      <c r="B317" s="10" t="s">
        <v>69</v>
      </c>
      <c r="C317" s="10" t="s">
        <v>647</v>
      </c>
      <c r="D317" s="9" t="s">
        <v>1057</v>
      </c>
      <c r="E317" s="10" t="s">
        <v>707</v>
      </c>
      <c r="F317" s="10" t="s">
        <v>708</v>
      </c>
      <c r="G317" s="9" t="n">
        <v>118.6</v>
      </c>
      <c r="H317" s="10" t="s">
        <v>422</v>
      </c>
      <c r="I317" s="10" t="s">
        <v>710</v>
      </c>
    </row>
    <row r="318" customFormat="false" ht="15" hidden="false" customHeight="false" outlineLevel="0" collapsed="false">
      <c r="A318" s="9" t="s">
        <v>27</v>
      </c>
      <c r="B318" s="10" t="s">
        <v>69</v>
      </c>
      <c r="C318" s="10" t="s">
        <v>647</v>
      </c>
      <c r="D318" s="9" t="s">
        <v>1058</v>
      </c>
      <c r="E318" s="10" t="s">
        <v>707</v>
      </c>
      <c r="F318" s="10" t="s">
        <v>708</v>
      </c>
      <c r="G318" s="9" t="n">
        <v>1163.1</v>
      </c>
      <c r="H318" s="10" t="s">
        <v>1059</v>
      </c>
      <c r="I318" s="10" t="s">
        <v>710</v>
      </c>
    </row>
    <row r="319" customFormat="false" ht="15" hidden="false" customHeight="false" outlineLevel="0" collapsed="false">
      <c r="A319" s="9" t="s">
        <v>27</v>
      </c>
      <c r="B319" s="10" t="s">
        <v>69</v>
      </c>
      <c r="C319" s="10" t="s">
        <v>647</v>
      </c>
      <c r="D319" s="9" t="s">
        <v>1060</v>
      </c>
      <c r="E319" s="10" t="s">
        <v>707</v>
      </c>
      <c r="F319" s="10" t="s">
        <v>708</v>
      </c>
      <c r="G319" s="9" t="n">
        <v>905.3</v>
      </c>
      <c r="H319" s="10" t="s">
        <v>1061</v>
      </c>
      <c r="I319" s="9" t="s">
        <v>712</v>
      </c>
    </row>
    <row r="320" customFormat="false" ht="15" hidden="false" customHeight="false" outlineLevel="0" collapsed="false">
      <c r="A320" s="9" t="s">
        <v>27</v>
      </c>
      <c r="B320" s="10" t="s">
        <v>69</v>
      </c>
      <c r="C320" s="10" t="s">
        <v>647</v>
      </c>
      <c r="D320" s="9" t="s">
        <v>1062</v>
      </c>
      <c r="E320" s="10" t="s">
        <v>707</v>
      </c>
      <c r="F320" s="10" t="s">
        <v>708</v>
      </c>
      <c r="G320" s="9" t="n">
        <v>1164.1</v>
      </c>
      <c r="H320" s="10" t="s">
        <v>1063</v>
      </c>
      <c r="I320" s="10" t="s">
        <v>710</v>
      </c>
    </row>
    <row r="321" customFormat="false" ht="15" hidden="false" customHeight="false" outlineLevel="0" collapsed="false">
      <c r="A321" s="9" t="s">
        <v>27</v>
      </c>
      <c r="B321" s="10" t="s">
        <v>69</v>
      </c>
      <c r="C321" s="10" t="s">
        <v>647</v>
      </c>
      <c r="D321" s="9" t="s">
        <v>1064</v>
      </c>
      <c r="E321" s="10" t="s">
        <v>707</v>
      </c>
      <c r="F321" s="10" t="s">
        <v>708</v>
      </c>
      <c r="G321" s="9" t="n">
        <v>905.3</v>
      </c>
      <c r="H321" s="10" t="s">
        <v>1061</v>
      </c>
      <c r="I321" s="10" t="s">
        <v>710</v>
      </c>
    </row>
  </sheetData>
  <autoFilter ref="A1:I3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52"/>
    <col collapsed="false" customWidth="true" hidden="false" outlineLevel="0" max="4" min="4" style="0" width="38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1"/>
  </cols>
  <sheetData>
    <row r="1" customFormat="false" ht="15" hidden="false" customHeight="false" outlineLevel="0" collapsed="false">
      <c r="A1" s="12" t="s">
        <v>3</v>
      </c>
      <c r="B1" s="12" t="s">
        <v>14</v>
      </c>
      <c r="C1" s="12" t="s">
        <v>37</v>
      </c>
      <c r="D1" s="12" t="s">
        <v>38</v>
      </c>
      <c r="E1" s="12" t="s">
        <v>39</v>
      </c>
      <c r="F1" s="12" t="s">
        <v>41</v>
      </c>
      <c r="G1" s="12" t="s">
        <v>42</v>
      </c>
    </row>
    <row r="2" customFormat="false" ht="15" hidden="false" customHeight="false" outlineLevel="0" collapsed="false">
      <c r="A2" s="9" t="s">
        <v>30</v>
      </c>
      <c r="B2" s="9" t="s">
        <v>26</v>
      </c>
      <c r="C2" s="10" t="s">
        <v>1065</v>
      </c>
      <c r="D2" s="9" t="s">
        <v>1066</v>
      </c>
      <c r="E2" s="10" t="s">
        <v>1067</v>
      </c>
      <c r="F2" s="9" t="n">
        <v>1071</v>
      </c>
      <c r="G2" s="10" t="s">
        <v>1068</v>
      </c>
    </row>
    <row r="3" customFormat="false" ht="15" hidden="false" customHeight="false" outlineLevel="0" collapsed="false">
      <c r="A3" s="9" t="s">
        <v>30</v>
      </c>
      <c r="B3" s="9" t="s">
        <v>26</v>
      </c>
      <c r="C3" s="10" t="s">
        <v>1069</v>
      </c>
      <c r="D3" s="9" t="s">
        <v>1070</v>
      </c>
      <c r="E3" s="10" t="s">
        <v>1067</v>
      </c>
      <c r="F3" s="9" t="n">
        <v>34071.7</v>
      </c>
      <c r="G3" s="10" t="s">
        <v>551</v>
      </c>
    </row>
    <row r="4" customFormat="false" ht="15" hidden="false" customHeight="false" outlineLevel="0" collapsed="false">
      <c r="A4" s="9" t="s">
        <v>30</v>
      </c>
      <c r="B4" s="9" t="s">
        <v>19</v>
      </c>
      <c r="C4" s="10" t="s">
        <v>156</v>
      </c>
      <c r="D4" s="10" t="s">
        <v>1071</v>
      </c>
      <c r="E4" s="10" t="s">
        <v>1067</v>
      </c>
      <c r="F4" s="9" t="n">
        <v>20275.4</v>
      </c>
      <c r="G4" s="10" t="s">
        <v>364</v>
      </c>
    </row>
    <row r="5" customFormat="false" ht="15" hidden="false" customHeight="false" outlineLevel="0" collapsed="false">
      <c r="A5" s="9" t="s">
        <v>30</v>
      </c>
      <c r="B5" s="9" t="s">
        <v>19</v>
      </c>
      <c r="C5" s="10" t="s">
        <v>1072</v>
      </c>
      <c r="D5" s="9" t="s">
        <v>1073</v>
      </c>
      <c r="E5" s="10" t="s">
        <v>1067</v>
      </c>
      <c r="F5" s="9" t="n">
        <v>27977.7</v>
      </c>
      <c r="G5" s="10" t="s">
        <v>165</v>
      </c>
    </row>
    <row r="6" customFormat="false" ht="15" hidden="false" customHeight="false" outlineLevel="0" collapsed="false">
      <c r="A6" s="9" t="s">
        <v>30</v>
      </c>
      <c r="B6" s="9" t="s">
        <v>19</v>
      </c>
      <c r="C6" s="10" t="s">
        <v>1074</v>
      </c>
      <c r="D6" s="10" t="s">
        <v>1075</v>
      </c>
      <c r="E6" s="10" t="s">
        <v>1067</v>
      </c>
      <c r="F6" s="9" t="n">
        <v>17654.3</v>
      </c>
      <c r="G6" s="10" t="s">
        <v>1076</v>
      </c>
    </row>
    <row r="7" customFormat="false" ht="15" hidden="false" customHeight="false" outlineLevel="0" collapsed="false">
      <c r="A7" s="9" t="s">
        <v>30</v>
      </c>
      <c r="B7" s="9" t="s">
        <v>19</v>
      </c>
      <c r="C7" s="10" t="s">
        <v>1077</v>
      </c>
      <c r="D7" s="10" t="s">
        <v>1078</v>
      </c>
      <c r="E7" s="10" t="s">
        <v>1067</v>
      </c>
      <c r="F7" s="9" t="n">
        <v>1122.5</v>
      </c>
      <c r="G7" s="10" t="s">
        <v>1079</v>
      </c>
    </row>
    <row r="8" customFormat="false" ht="15" hidden="false" customHeight="false" outlineLevel="0" collapsed="false">
      <c r="A8" s="9" t="s">
        <v>30</v>
      </c>
      <c r="B8" s="9" t="s">
        <v>19</v>
      </c>
      <c r="C8" s="10" t="s">
        <v>1080</v>
      </c>
      <c r="D8" s="10" t="s">
        <v>1081</v>
      </c>
      <c r="E8" s="10" t="s">
        <v>1067</v>
      </c>
      <c r="F8" s="9" t="n">
        <v>1505.1</v>
      </c>
      <c r="G8" s="10" t="s">
        <v>1012</v>
      </c>
    </row>
    <row r="9" customFormat="false" ht="15" hidden="false" customHeight="false" outlineLevel="0" collapsed="false">
      <c r="A9" s="9" t="s">
        <v>30</v>
      </c>
      <c r="B9" s="9" t="s">
        <v>26</v>
      </c>
      <c r="C9" s="10" t="s">
        <v>652</v>
      </c>
      <c r="D9" s="9" t="s">
        <v>1082</v>
      </c>
      <c r="E9" s="10" t="s">
        <v>1067</v>
      </c>
      <c r="F9" s="9" t="n">
        <v>164.3</v>
      </c>
      <c r="G9" s="10" t="s">
        <v>654</v>
      </c>
    </row>
    <row r="10" customFormat="false" ht="15" hidden="false" customHeight="false" outlineLevel="0" collapsed="false">
      <c r="A10" s="9" t="s">
        <v>30</v>
      </c>
      <c r="B10" s="9" t="s">
        <v>25</v>
      </c>
      <c r="C10" s="10" t="s">
        <v>1083</v>
      </c>
      <c r="D10" s="10" t="s">
        <v>1084</v>
      </c>
      <c r="E10" s="10" t="s">
        <v>1067</v>
      </c>
      <c r="F10" s="9" t="n">
        <v>4297.1</v>
      </c>
      <c r="G10" s="10" t="s">
        <v>1085</v>
      </c>
    </row>
    <row r="11" customFormat="false" ht="15" hidden="false" customHeight="false" outlineLevel="0" collapsed="false">
      <c r="A11" s="9" t="s">
        <v>30</v>
      </c>
      <c r="B11" s="9" t="s">
        <v>25</v>
      </c>
      <c r="C11" s="10" t="s">
        <v>1083</v>
      </c>
      <c r="D11" s="10" t="s">
        <v>1086</v>
      </c>
      <c r="E11" s="10" t="s">
        <v>1067</v>
      </c>
      <c r="F11" s="9" t="n">
        <v>4082.1</v>
      </c>
      <c r="G11" s="10" t="s">
        <v>1085</v>
      </c>
    </row>
    <row r="12" customFormat="false" ht="15" hidden="false" customHeight="false" outlineLevel="0" collapsed="false">
      <c r="A12" s="9" t="s">
        <v>31</v>
      </c>
      <c r="B12" s="9" t="s">
        <v>26</v>
      </c>
      <c r="C12" s="10" t="s">
        <v>547</v>
      </c>
      <c r="D12" s="10" t="s">
        <v>1087</v>
      </c>
      <c r="E12" s="10" t="s">
        <v>1088</v>
      </c>
      <c r="F12" s="9" t="n">
        <v>109.4</v>
      </c>
      <c r="G12" s="10" t="s">
        <v>551</v>
      </c>
    </row>
    <row r="13" customFormat="false" ht="15" hidden="false" customHeight="false" outlineLevel="0" collapsed="false">
      <c r="A13" s="9" t="s">
        <v>31</v>
      </c>
      <c r="B13" s="9" t="s">
        <v>26</v>
      </c>
      <c r="C13" s="10" t="s">
        <v>547</v>
      </c>
      <c r="D13" s="10" t="s">
        <v>1089</v>
      </c>
      <c r="E13" s="10" t="s">
        <v>1088</v>
      </c>
      <c r="F13" s="9" t="n">
        <v>31.8</v>
      </c>
      <c r="G13" s="10" t="s">
        <v>630</v>
      </c>
    </row>
    <row r="14" customFormat="false" ht="15" hidden="false" customHeight="false" outlineLevel="0" collapsed="false">
      <c r="A14" s="9" t="s">
        <v>31</v>
      </c>
      <c r="B14" s="9" t="s">
        <v>26</v>
      </c>
      <c r="C14" s="10" t="s">
        <v>547</v>
      </c>
      <c r="D14" s="10" t="s">
        <v>1090</v>
      </c>
      <c r="E14" s="10" t="s">
        <v>1088</v>
      </c>
      <c r="F14" s="9" t="n">
        <v>100.6</v>
      </c>
      <c r="G14" s="10" t="s">
        <v>1091</v>
      </c>
    </row>
    <row r="15" customFormat="false" ht="15" hidden="false" customHeight="false" outlineLevel="0" collapsed="false">
      <c r="A15" s="9" t="s">
        <v>31</v>
      </c>
      <c r="B15" s="9" t="s">
        <v>26</v>
      </c>
      <c r="C15" s="10" t="s">
        <v>547</v>
      </c>
      <c r="D15" s="10" t="s">
        <v>1092</v>
      </c>
      <c r="E15" s="10" t="s">
        <v>1088</v>
      </c>
      <c r="F15" s="9" t="n">
        <v>48.4</v>
      </c>
      <c r="G15" s="10" t="s">
        <v>632</v>
      </c>
    </row>
    <row r="16" customFormat="false" ht="15" hidden="false" customHeight="false" outlineLevel="0" collapsed="false">
      <c r="A16" s="9" t="s">
        <v>31</v>
      </c>
      <c r="B16" s="9" t="s">
        <v>26</v>
      </c>
      <c r="C16" s="10" t="s">
        <v>547</v>
      </c>
      <c r="D16" s="10" t="s">
        <v>1093</v>
      </c>
      <c r="E16" s="10" t="s">
        <v>1088</v>
      </c>
      <c r="F16" s="9" t="n">
        <v>214.5</v>
      </c>
      <c r="G16" s="10" t="s">
        <v>1094</v>
      </c>
    </row>
    <row r="17" customFormat="false" ht="15" hidden="false" customHeight="false" outlineLevel="0" collapsed="false">
      <c r="A17" s="9" t="s">
        <v>31</v>
      </c>
      <c r="B17" s="9" t="s">
        <v>26</v>
      </c>
      <c r="C17" s="10" t="s">
        <v>547</v>
      </c>
      <c r="D17" s="10" t="s">
        <v>1095</v>
      </c>
      <c r="E17" s="10" t="s">
        <v>1088</v>
      </c>
      <c r="F17" s="9" t="n">
        <v>116.6</v>
      </c>
      <c r="G17" s="10" t="s">
        <v>979</v>
      </c>
    </row>
    <row r="18" customFormat="false" ht="15" hidden="false" customHeight="false" outlineLevel="0" collapsed="false">
      <c r="A18" s="9" t="s">
        <v>31</v>
      </c>
      <c r="B18" s="9" t="s">
        <v>26</v>
      </c>
      <c r="C18" s="10" t="s">
        <v>547</v>
      </c>
      <c r="D18" s="9" t="s">
        <v>1096</v>
      </c>
      <c r="E18" s="10" t="s">
        <v>1088</v>
      </c>
      <c r="F18" s="9" t="n">
        <v>632.3</v>
      </c>
      <c r="G18" s="10" t="s">
        <v>1097</v>
      </c>
    </row>
    <row r="19" customFormat="false" ht="15" hidden="false" customHeight="false" outlineLevel="0" collapsed="false">
      <c r="A19" s="9" t="s">
        <v>31</v>
      </c>
      <c r="B19" s="9" t="s">
        <v>26</v>
      </c>
      <c r="C19" s="10" t="s">
        <v>1098</v>
      </c>
      <c r="D19" s="10" t="s">
        <v>1099</v>
      </c>
      <c r="E19" s="10" t="s">
        <v>1088</v>
      </c>
      <c r="F19" s="9" t="n">
        <v>187.1</v>
      </c>
      <c r="G19" s="10" t="s">
        <v>1100</v>
      </c>
    </row>
    <row r="20" customFormat="false" ht="15" hidden="false" customHeight="false" outlineLevel="0" collapsed="false">
      <c r="A20" s="9" t="s">
        <v>31</v>
      </c>
      <c r="B20" s="9" t="s">
        <v>26</v>
      </c>
      <c r="C20" s="10" t="s">
        <v>1101</v>
      </c>
      <c r="D20" s="9" t="s">
        <v>1096</v>
      </c>
      <c r="E20" s="10" t="s">
        <v>1088</v>
      </c>
      <c r="F20" s="9" t="n">
        <v>632.3</v>
      </c>
      <c r="G20" s="10" t="s">
        <v>1097</v>
      </c>
    </row>
    <row r="21" customFormat="false" ht="15" hidden="false" customHeight="false" outlineLevel="0" collapsed="false">
      <c r="A21" s="9" t="s">
        <v>31</v>
      </c>
      <c r="B21" s="9" t="s">
        <v>26</v>
      </c>
      <c r="C21" s="10" t="s">
        <v>1101</v>
      </c>
      <c r="D21" s="9" t="s">
        <v>1102</v>
      </c>
      <c r="E21" s="10" t="s">
        <v>1088</v>
      </c>
      <c r="F21" s="9" t="n">
        <v>110.6</v>
      </c>
      <c r="G21" s="10" t="s">
        <v>1068</v>
      </c>
    </row>
    <row r="22" customFormat="false" ht="15" hidden="false" customHeight="false" outlineLevel="0" collapsed="false">
      <c r="A22" s="9" t="s">
        <v>31</v>
      </c>
      <c r="B22" s="9" t="s">
        <v>26</v>
      </c>
      <c r="C22" s="10" t="s">
        <v>1103</v>
      </c>
      <c r="D22" s="10" t="s">
        <v>1092</v>
      </c>
      <c r="E22" s="10" t="s">
        <v>1088</v>
      </c>
      <c r="F22" s="9" t="n">
        <v>48.4</v>
      </c>
      <c r="G22" s="10" t="s">
        <v>632</v>
      </c>
    </row>
    <row r="23" customFormat="false" ht="15" hidden="false" customHeight="false" outlineLevel="0" collapsed="false">
      <c r="A23" s="9" t="s">
        <v>31</v>
      </c>
      <c r="B23" s="9" t="s">
        <v>26</v>
      </c>
      <c r="C23" s="10" t="s">
        <v>1104</v>
      </c>
      <c r="D23" s="10" t="s">
        <v>1105</v>
      </c>
      <c r="E23" s="10" t="s">
        <v>1088</v>
      </c>
      <c r="F23" s="9" t="n">
        <v>252</v>
      </c>
      <c r="G23" s="10" t="s">
        <v>1106</v>
      </c>
    </row>
    <row r="24" customFormat="false" ht="15" hidden="false" customHeight="false" outlineLevel="0" collapsed="false">
      <c r="A24" s="9" t="s">
        <v>31</v>
      </c>
      <c r="B24" s="9" t="s">
        <v>26</v>
      </c>
      <c r="C24" s="10" t="s">
        <v>1104</v>
      </c>
      <c r="D24" s="10" t="s">
        <v>1107</v>
      </c>
      <c r="E24" s="10" t="s">
        <v>1088</v>
      </c>
      <c r="F24" s="9" t="n">
        <v>119.3</v>
      </c>
      <c r="G24" s="10" t="s">
        <v>1108</v>
      </c>
    </row>
    <row r="25" customFormat="false" ht="15" hidden="false" customHeight="false" outlineLevel="0" collapsed="false">
      <c r="A25" s="9" t="s">
        <v>31</v>
      </c>
      <c r="B25" s="9" t="s">
        <v>26</v>
      </c>
      <c r="C25" s="10" t="s">
        <v>1104</v>
      </c>
      <c r="D25" s="10" t="s">
        <v>1109</v>
      </c>
      <c r="E25" s="10" t="s">
        <v>1088</v>
      </c>
      <c r="F25" s="9" t="n">
        <v>693.5</v>
      </c>
      <c r="G25" s="10" t="s">
        <v>1097</v>
      </c>
    </row>
    <row r="26" customFormat="false" ht="15" hidden="false" customHeight="false" outlineLevel="0" collapsed="false">
      <c r="A26" s="9" t="s">
        <v>31</v>
      </c>
      <c r="B26" s="9" t="s">
        <v>26</v>
      </c>
      <c r="C26" s="10" t="s">
        <v>1104</v>
      </c>
      <c r="D26" s="10" t="s">
        <v>1110</v>
      </c>
      <c r="E26" s="10" t="s">
        <v>1088</v>
      </c>
      <c r="F26" s="9" t="n">
        <v>51.4</v>
      </c>
      <c r="G26" s="10" t="s">
        <v>1108</v>
      </c>
    </row>
    <row r="27" customFormat="false" ht="15" hidden="false" customHeight="false" outlineLevel="0" collapsed="false">
      <c r="A27" s="9" t="s">
        <v>31</v>
      </c>
      <c r="B27" s="9" t="s">
        <v>22</v>
      </c>
      <c r="C27" s="10" t="s">
        <v>357</v>
      </c>
      <c r="D27" s="10" t="s">
        <v>1111</v>
      </c>
      <c r="E27" s="10" t="s">
        <v>1088</v>
      </c>
      <c r="F27" s="9" t="n">
        <v>214.5</v>
      </c>
      <c r="G27" s="10" t="s">
        <v>158</v>
      </c>
    </row>
    <row r="28" customFormat="false" ht="15" hidden="false" customHeight="false" outlineLevel="0" collapsed="false">
      <c r="A28" s="9" t="s">
        <v>31</v>
      </c>
      <c r="B28" s="9" t="s">
        <v>22</v>
      </c>
      <c r="C28" s="10" t="s">
        <v>357</v>
      </c>
      <c r="D28" s="10" t="s">
        <v>1112</v>
      </c>
      <c r="E28" s="10" t="s">
        <v>1088</v>
      </c>
      <c r="F28" s="9" t="n">
        <v>144</v>
      </c>
      <c r="G28" s="10" t="s">
        <v>608</v>
      </c>
    </row>
    <row r="29" customFormat="false" ht="15" hidden="false" customHeight="false" outlineLevel="0" collapsed="false">
      <c r="A29" s="9" t="s">
        <v>31</v>
      </c>
      <c r="B29" s="9" t="s">
        <v>22</v>
      </c>
      <c r="C29" s="10" t="s">
        <v>357</v>
      </c>
      <c r="D29" s="10" t="s">
        <v>1113</v>
      </c>
      <c r="E29" s="10" t="s">
        <v>1088</v>
      </c>
      <c r="F29" s="9" t="n">
        <v>111.8</v>
      </c>
      <c r="G29" s="10" t="s">
        <v>1114</v>
      </c>
    </row>
    <row r="30" customFormat="false" ht="15" hidden="false" customHeight="false" outlineLevel="0" collapsed="false">
      <c r="A30" s="9" t="s">
        <v>31</v>
      </c>
      <c r="B30" s="9" t="s">
        <v>22</v>
      </c>
      <c r="C30" s="10" t="s">
        <v>357</v>
      </c>
      <c r="D30" s="10" t="s">
        <v>1115</v>
      </c>
      <c r="E30" s="10" t="s">
        <v>1088</v>
      </c>
      <c r="F30" s="9" t="n">
        <v>82.6</v>
      </c>
      <c r="G30" s="10" t="s">
        <v>162</v>
      </c>
    </row>
    <row r="31" customFormat="false" ht="15" hidden="false" customHeight="false" outlineLevel="0" collapsed="false">
      <c r="A31" s="9" t="s">
        <v>31</v>
      </c>
      <c r="B31" s="9" t="s">
        <v>22</v>
      </c>
      <c r="C31" s="10" t="s">
        <v>357</v>
      </c>
      <c r="D31" s="10" t="s">
        <v>1116</v>
      </c>
      <c r="E31" s="10" t="s">
        <v>1088</v>
      </c>
      <c r="F31" s="9" t="n">
        <v>63</v>
      </c>
      <c r="G31" s="10" t="s">
        <v>175</v>
      </c>
    </row>
    <row r="32" customFormat="false" ht="15" hidden="false" customHeight="false" outlineLevel="0" collapsed="false">
      <c r="A32" s="9" t="s">
        <v>31</v>
      </c>
      <c r="B32" s="9" t="s">
        <v>19</v>
      </c>
      <c r="C32" s="10" t="s">
        <v>156</v>
      </c>
      <c r="D32" s="10" t="s">
        <v>1117</v>
      </c>
      <c r="E32" s="10" t="s">
        <v>1088</v>
      </c>
      <c r="F32" s="9" t="n">
        <v>79.3</v>
      </c>
      <c r="G32" s="10" t="s">
        <v>175</v>
      </c>
    </row>
    <row r="33" customFormat="false" ht="15" hidden="false" customHeight="false" outlineLevel="0" collapsed="false">
      <c r="A33" s="9" t="s">
        <v>31</v>
      </c>
      <c r="B33" s="9" t="s">
        <v>19</v>
      </c>
      <c r="C33" s="10" t="s">
        <v>156</v>
      </c>
      <c r="D33" s="10" t="s">
        <v>1118</v>
      </c>
      <c r="E33" s="10" t="s">
        <v>1088</v>
      </c>
      <c r="F33" s="9" t="n">
        <v>99.3</v>
      </c>
      <c r="G33" s="10" t="s">
        <v>894</v>
      </c>
    </row>
    <row r="34" customFormat="false" ht="15" hidden="false" customHeight="false" outlineLevel="0" collapsed="false">
      <c r="A34" s="9" t="s">
        <v>31</v>
      </c>
      <c r="B34" s="9" t="s">
        <v>19</v>
      </c>
      <c r="C34" s="10" t="s">
        <v>156</v>
      </c>
      <c r="D34" s="10" t="s">
        <v>1119</v>
      </c>
      <c r="E34" s="10" t="s">
        <v>1088</v>
      </c>
      <c r="F34" s="9" t="n">
        <v>51.6</v>
      </c>
      <c r="G34" s="10" t="s">
        <v>162</v>
      </c>
    </row>
    <row r="35" customFormat="false" ht="15" hidden="false" customHeight="false" outlineLevel="0" collapsed="false">
      <c r="A35" s="9" t="s">
        <v>31</v>
      </c>
      <c r="B35" s="9" t="s">
        <v>19</v>
      </c>
      <c r="C35" s="10" t="s">
        <v>156</v>
      </c>
      <c r="D35" s="10" t="s">
        <v>1120</v>
      </c>
      <c r="E35" s="10" t="s">
        <v>1088</v>
      </c>
      <c r="F35" s="9" t="n">
        <v>49.1</v>
      </c>
      <c r="G35" s="10" t="s">
        <v>165</v>
      </c>
    </row>
    <row r="36" customFormat="false" ht="15" hidden="false" customHeight="false" outlineLevel="0" collapsed="false">
      <c r="A36" s="9" t="s">
        <v>31</v>
      </c>
      <c r="B36" s="9" t="s">
        <v>19</v>
      </c>
      <c r="C36" s="10" t="s">
        <v>1080</v>
      </c>
      <c r="D36" s="10" t="s">
        <v>1121</v>
      </c>
      <c r="E36" s="10" t="s">
        <v>1088</v>
      </c>
      <c r="F36" s="9" t="n">
        <v>643.2</v>
      </c>
      <c r="G36" s="10" t="s">
        <v>1094</v>
      </c>
    </row>
    <row r="37" customFormat="false" ht="15" hidden="false" customHeight="false" outlineLevel="0" collapsed="false">
      <c r="A37" s="9" t="s">
        <v>31</v>
      </c>
      <c r="B37" s="9" t="s">
        <v>19</v>
      </c>
      <c r="C37" s="10" t="s">
        <v>1080</v>
      </c>
      <c r="D37" s="10" t="s">
        <v>1122</v>
      </c>
      <c r="E37" s="10" t="s">
        <v>1088</v>
      </c>
      <c r="F37" s="9" t="n">
        <v>527.7</v>
      </c>
      <c r="G37" s="10" t="s">
        <v>1012</v>
      </c>
    </row>
    <row r="38" customFormat="false" ht="15" hidden="false" customHeight="false" outlineLevel="0" collapsed="false">
      <c r="A38" s="9" t="s">
        <v>31</v>
      </c>
      <c r="B38" s="9" t="s">
        <v>19</v>
      </c>
      <c r="C38" s="10" t="s">
        <v>1080</v>
      </c>
      <c r="D38" s="10" t="s">
        <v>1123</v>
      </c>
      <c r="E38" s="10" t="s">
        <v>1088</v>
      </c>
      <c r="F38" s="9" t="n">
        <v>251.4</v>
      </c>
      <c r="G38" s="10" t="s">
        <v>1012</v>
      </c>
    </row>
    <row r="39" customFormat="false" ht="15" hidden="false" customHeight="false" outlineLevel="0" collapsed="false">
      <c r="A39" s="9" t="s">
        <v>31</v>
      </c>
      <c r="B39" s="9" t="s">
        <v>19</v>
      </c>
      <c r="C39" s="10" t="s">
        <v>1080</v>
      </c>
      <c r="D39" s="10" t="s">
        <v>1118</v>
      </c>
      <c r="E39" s="10" t="s">
        <v>1088</v>
      </c>
      <c r="F39" s="9" t="n">
        <v>99.3</v>
      </c>
      <c r="G39" s="10" t="s">
        <v>894</v>
      </c>
    </row>
    <row r="40" customFormat="false" ht="15" hidden="false" customHeight="false" outlineLevel="0" collapsed="false">
      <c r="A40" s="9" t="s">
        <v>31</v>
      </c>
      <c r="B40" s="9" t="s">
        <v>19</v>
      </c>
      <c r="C40" s="10" t="s">
        <v>1080</v>
      </c>
      <c r="D40" s="9" t="s">
        <v>1124</v>
      </c>
      <c r="E40" s="10" t="s">
        <v>1088</v>
      </c>
      <c r="F40" s="9" t="n">
        <v>64.4</v>
      </c>
      <c r="G40" s="10" t="s">
        <v>894</v>
      </c>
    </row>
    <row r="41" customFormat="false" ht="15" hidden="false" customHeight="false" outlineLevel="0" collapsed="false">
      <c r="A41" s="9" t="s">
        <v>31</v>
      </c>
      <c r="B41" s="9" t="s">
        <v>26</v>
      </c>
      <c r="C41" s="10" t="s">
        <v>626</v>
      </c>
      <c r="D41" s="10" t="s">
        <v>1125</v>
      </c>
      <c r="E41" s="10" t="s">
        <v>1088</v>
      </c>
      <c r="F41" s="9" t="n">
        <v>255.7</v>
      </c>
      <c r="G41" s="10" t="s">
        <v>191</v>
      </c>
    </row>
    <row r="42" customFormat="false" ht="15" hidden="false" customHeight="false" outlineLevel="0" collapsed="false">
      <c r="A42" s="9" t="s">
        <v>31</v>
      </c>
      <c r="B42" s="9" t="s">
        <v>26</v>
      </c>
      <c r="C42" s="10" t="s">
        <v>626</v>
      </c>
      <c r="D42" s="10" t="s">
        <v>1126</v>
      </c>
      <c r="E42" s="10" t="s">
        <v>1088</v>
      </c>
      <c r="F42" s="9" t="n">
        <v>197.1</v>
      </c>
      <c r="G42" s="10" t="s">
        <v>401</v>
      </c>
    </row>
    <row r="43" customFormat="false" ht="15" hidden="false" customHeight="false" outlineLevel="0" collapsed="false">
      <c r="A43" s="9" t="s">
        <v>31</v>
      </c>
      <c r="B43" s="9" t="s">
        <v>26</v>
      </c>
      <c r="C43" s="10" t="s">
        <v>626</v>
      </c>
      <c r="D43" s="10" t="s">
        <v>1127</v>
      </c>
      <c r="E43" s="10" t="s">
        <v>1088</v>
      </c>
      <c r="F43" s="9" t="n">
        <v>111.7</v>
      </c>
      <c r="G43" s="10" t="s">
        <v>630</v>
      </c>
    </row>
    <row r="44" customFormat="false" ht="15" hidden="false" customHeight="false" outlineLevel="0" collapsed="false">
      <c r="A44" s="9" t="s">
        <v>31</v>
      </c>
      <c r="B44" s="9" t="s">
        <v>26</v>
      </c>
      <c r="C44" s="10" t="s">
        <v>626</v>
      </c>
      <c r="D44" s="10" t="s">
        <v>1128</v>
      </c>
      <c r="E44" s="10" t="s">
        <v>1088</v>
      </c>
      <c r="F44" s="9" t="n">
        <v>114.8</v>
      </c>
      <c r="G44" s="10" t="s">
        <v>551</v>
      </c>
    </row>
    <row r="45" customFormat="false" ht="15" hidden="false" customHeight="false" outlineLevel="0" collapsed="false">
      <c r="A45" s="9" t="s">
        <v>31</v>
      </c>
      <c r="B45" s="9" t="s">
        <v>26</v>
      </c>
      <c r="C45" s="10" t="s">
        <v>626</v>
      </c>
      <c r="D45" s="10" t="s">
        <v>1129</v>
      </c>
      <c r="E45" s="10" t="s">
        <v>1088</v>
      </c>
      <c r="F45" s="9" t="n">
        <v>112.4</v>
      </c>
      <c r="G45" s="10" t="s">
        <v>551</v>
      </c>
    </row>
    <row r="46" customFormat="false" ht="15" hidden="false" customHeight="false" outlineLevel="0" collapsed="false">
      <c r="A46" s="9" t="s">
        <v>31</v>
      </c>
      <c r="B46" s="9" t="s">
        <v>26</v>
      </c>
      <c r="C46" s="10" t="s">
        <v>626</v>
      </c>
      <c r="D46" s="10" t="s">
        <v>1130</v>
      </c>
      <c r="E46" s="10" t="s">
        <v>1088</v>
      </c>
      <c r="F46" s="9" t="n">
        <v>122.9</v>
      </c>
      <c r="G46" s="10" t="s">
        <v>1131</v>
      </c>
    </row>
    <row r="47" customFormat="false" ht="15" hidden="false" customHeight="false" outlineLevel="0" collapsed="false">
      <c r="A47" s="9" t="s">
        <v>31</v>
      </c>
      <c r="B47" s="9" t="s">
        <v>26</v>
      </c>
      <c r="C47" s="10" t="s">
        <v>626</v>
      </c>
      <c r="D47" s="10" t="s">
        <v>1132</v>
      </c>
      <c r="E47" s="10" t="s">
        <v>1088</v>
      </c>
      <c r="F47" s="9" t="n">
        <v>49.8</v>
      </c>
      <c r="G47" s="10" t="s">
        <v>646</v>
      </c>
    </row>
    <row r="48" customFormat="false" ht="15" hidden="false" customHeight="false" outlineLevel="0" collapsed="false">
      <c r="A48" s="9" t="s">
        <v>31</v>
      </c>
      <c r="B48" s="9" t="s">
        <v>26</v>
      </c>
      <c r="C48" s="10" t="s">
        <v>626</v>
      </c>
      <c r="D48" s="10" t="s">
        <v>1133</v>
      </c>
      <c r="E48" s="10" t="s">
        <v>1088</v>
      </c>
      <c r="F48" s="9" t="n">
        <v>57.9</v>
      </c>
      <c r="G48" s="10" t="s">
        <v>204</v>
      </c>
    </row>
    <row r="49" customFormat="false" ht="15" hidden="false" customHeight="false" outlineLevel="0" collapsed="false">
      <c r="A49" s="9" t="s">
        <v>31</v>
      </c>
      <c r="B49" s="9" t="s">
        <v>26</v>
      </c>
      <c r="C49" s="10" t="s">
        <v>626</v>
      </c>
      <c r="D49" s="10" t="s">
        <v>1134</v>
      </c>
      <c r="E49" s="10" t="s">
        <v>1088</v>
      </c>
      <c r="F49" s="9" t="n">
        <v>54.2</v>
      </c>
      <c r="G49" s="10" t="s">
        <v>1135</v>
      </c>
    </row>
    <row r="50" customFormat="false" ht="15" hidden="false" customHeight="false" outlineLevel="0" collapsed="false">
      <c r="A50" s="9" t="s">
        <v>31</v>
      </c>
      <c r="B50" s="9" t="s">
        <v>26</v>
      </c>
      <c r="C50" s="10" t="s">
        <v>626</v>
      </c>
      <c r="D50" s="10" t="s">
        <v>1136</v>
      </c>
      <c r="E50" s="10" t="s">
        <v>1088</v>
      </c>
      <c r="F50" s="9" t="n">
        <v>83.4</v>
      </c>
      <c r="G50" s="10" t="s">
        <v>646</v>
      </c>
    </row>
    <row r="51" customFormat="false" ht="15" hidden="false" customHeight="false" outlineLevel="0" collapsed="false">
      <c r="A51" s="9" t="s">
        <v>31</v>
      </c>
      <c r="B51" s="9" t="s">
        <v>26</v>
      </c>
      <c r="C51" s="10" t="s">
        <v>626</v>
      </c>
      <c r="D51" s="10" t="s">
        <v>1137</v>
      </c>
      <c r="E51" s="10" t="s">
        <v>1088</v>
      </c>
      <c r="F51" s="9" t="n">
        <v>84.8</v>
      </c>
      <c r="G51" s="10" t="s">
        <v>1135</v>
      </c>
    </row>
    <row r="52" customFormat="false" ht="15" hidden="false" customHeight="false" outlineLevel="0" collapsed="false">
      <c r="A52" s="9" t="s">
        <v>31</v>
      </c>
      <c r="B52" s="9" t="s">
        <v>26</v>
      </c>
      <c r="C52" s="10" t="s">
        <v>626</v>
      </c>
      <c r="D52" s="10" t="s">
        <v>1138</v>
      </c>
      <c r="E52" s="10" t="s">
        <v>1088</v>
      </c>
      <c r="F52" s="9" t="n">
        <v>87</v>
      </c>
      <c r="G52" s="10" t="s">
        <v>770</v>
      </c>
    </row>
    <row r="53" customFormat="false" ht="15" hidden="false" customHeight="false" outlineLevel="0" collapsed="false">
      <c r="A53" s="9" t="s">
        <v>31</v>
      </c>
      <c r="B53" s="9" t="s">
        <v>26</v>
      </c>
      <c r="C53" s="10" t="s">
        <v>626</v>
      </c>
      <c r="D53" s="10" t="s">
        <v>1139</v>
      </c>
      <c r="E53" s="10" t="s">
        <v>1088</v>
      </c>
      <c r="F53" s="9" t="n">
        <v>46.4</v>
      </c>
      <c r="G53" s="10" t="s">
        <v>1135</v>
      </c>
    </row>
    <row r="54" customFormat="false" ht="15" hidden="false" customHeight="false" outlineLevel="0" collapsed="false">
      <c r="A54" s="9" t="s">
        <v>31</v>
      </c>
      <c r="B54" s="9" t="s">
        <v>26</v>
      </c>
      <c r="C54" s="10" t="s">
        <v>626</v>
      </c>
      <c r="D54" s="10" t="s">
        <v>1140</v>
      </c>
      <c r="E54" s="10" t="s">
        <v>1088</v>
      </c>
      <c r="F54" s="9" t="n">
        <v>46.6</v>
      </c>
      <c r="G54" s="10" t="s">
        <v>770</v>
      </c>
    </row>
    <row r="55" customFormat="false" ht="15" hidden="false" customHeight="false" outlineLevel="0" collapsed="false">
      <c r="A55" s="9" t="s">
        <v>31</v>
      </c>
      <c r="B55" s="9" t="s">
        <v>26</v>
      </c>
      <c r="C55" s="10" t="s">
        <v>626</v>
      </c>
      <c r="D55" s="9" t="s">
        <v>1141</v>
      </c>
      <c r="E55" s="10" t="s">
        <v>1088</v>
      </c>
      <c r="F55" s="9" t="n">
        <v>792.8</v>
      </c>
      <c r="G55" s="10" t="s">
        <v>574</v>
      </c>
    </row>
    <row r="56" customFormat="false" ht="15" hidden="false" customHeight="false" outlineLevel="0" collapsed="false">
      <c r="A56" s="9" t="s">
        <v>31</v>
      </c>
      <c r="B56" s="9" t="s">
        <v>19</v>
      </c>
      <c r="C56" s="10" t="s">
        <v>177</v>
      </c>
      <c r="D56" s="10" t="s">
        <v>1142</v>
      </c>
      <c r="E56" s="10" t="s">
        <v>1088</v>
      </c>
      <c r="F56" s="9" t="n">
        <v>129.3</v>
      </c>
      <c r="G56" s="10" t="s">
        <v>784</v>
      </c>
    </row>
    <row r="57" customFormat="false" ht="15" hidden="false" customHeight="false" outlineLevel="0" collapsed="false">
      <c r="A57" s="9" t="s">
        <v>31</v>
      </c>
      <c r="B57" s="9" t="s">
        <v>19</v>
      </c>
      <c r="C57" s="10" t="s">
        <v>177</v>
      </c>
      <c r="D57" s="10" t="s">
        <v>1143</v>
      </c>
      <c r="E57" s="10" t="s">
        <v>1088</v>
      </c>
      <c r="F57" s="9" t="n">
        <v>131.8</v>
      </c>
      <c r="G57" s="10" t="s">
        <v>204</v>
      </c>
    </row>
    <row r="58" customFormat="false" ht="15" hidden="false" customHeight="false" outlineLevel="0" collapsed="false">
      <c r="A58" s="9" t="s">
        <v>31</v>
      </c>
      <c r="B58" s="9" t="s">
        <v>19</v>
      </c>
      <c r="C58" s="10" t="s">
        <v>177</v>
      </c>
      <c r="D58" s="10" t="s">
        <v>1144</v>
      </c>
      <c r="E58" s="10" t="s">
        <v>1088</v>
      </c>
      <c r="F58" s="9" t="n">
        <v>10</v>
      </c>
      <c r="G58" s="10" t="s">
        <v>775</v>
      </c>
    </row>
    <row r="59" customFormat="false" ht="15" hidden="false" customHeight="false" outlineLevel="0" collapsed="false">
      <c r="A59" s="9" t="s">
        <v>31</v>
      </c>
      <c r="B59" s="9" t="s">
        <v>19</v>
      </c>
      <c r="C59" s="10" t="s">
        <v>177</v>
      </c>
      <c r="D59" s="10" t="s">
        <v>1145</v>
      </c>
      <c r="E59" s="10" t="s">
        <v>1088</v>
      </c>
      <c r="F59" s="9" t="n">
        <v>116.8</v>
      </c>
      <c r="G59" s="10" t="s">
        <v>1108</v>
      </c>
    </row>
    <row r="60" customFormat="false" ht="15" hidden="false" customHeight="false" outlineLevel="0" collapsed="false">
      <c r="A60" s="9" t="s">
        <v>31</v>
      </c>
      <c r="B60" s="9" t="s">
        <v>19</v>
      </c>
      <c r="C60" s="10" t="s">
        <v>177</v>
      </c>
      <c r="D60" s="10" t="s">
        <v>1146</v>
      </c>
      <c r="E60" s="10" t="s">
        <v>1088</v>
      </c>
      <c r="F60" s="9" t="n">
        <v>143.2</v>
      </c>
      <c r="G60" s="10" t="s">
        <v>770</v>
      </c>
    </row>
    <row r="61" customFormat="false" ht="15" hidden="false" customHeight="false" outlineLevel="0" collapsed="false">
      <c r="A61" s="9" t="s">
        <v>31</v>
      </c>
      <c r="B61" s="9" t="s">
        <v>19</v>
      </c>
      <c r="C61" s="10" t="s">
        <v>177</v>
      </c>
      <c r="D61" s="10" t="s">
        <v>1147</v>
      </c>
      <c r="E61" s="10" t="s">
        <v>1088</v>
      </c>
      <c r="F61" s="9" t="n">
        <v>126.1</v>
      </c>
      <c r="G61" s="10" t="s">
        <v>204</v>
      </c>
    </row>
    <row r="62" customFormat="false" ht="15" hidden="false" customHeight="false" outlineLevel="0" collapsed="false">
      <c r="A62" s="9" t="s">
        <v>31</v>
      </c>
      <c r="B62" s="9" t="s">
        <v>19</v>
      </c>
      <c r="C62" s="10" t="s">
        <v>177</v>
      </c>
      <c r="D62" s="10" t="s">
        <v>1148</v>
      </c>
      <c r="E62" s="10" t="s">
        <v>1088</v>
      </c>
      <c r="F62" s="9" t="n">
        <v>156.6</v>
      </c>
      <c r="G62" s="10" t="s">
        <v>784</v>
      </c>
    </row>
    <row r="63" customFormat="false" ht="15" hidden="false" customHeight="false" outlineLevel="0" collapsed="false">
      <c r="A63" s="9" t="s">
        <v>31</v>
      </c>
      <c r="B63" s="9" t="s">
        <v>19</v>
      </c>
      <c r="C63" s="10" t="s">
        <v>177</v>
      </c>
      <c r="D63" s="10" t="s">
        <v>1149</v>
      </c>
      <c r="E63" s="10" t="s">
        <v>1088</v>
      </c>
      <c r="F63" s="9" t="n">
        <v>81.7</v>
      </c>
      <c r="G63" s="10" t="s">
        <v>1150</v>
      </c>
    </row>
    <row r="64" customFormat="false" ht="15" hidden="false" customHeight="false" outlineLevel="0" collapsed="false">
      <c r="A64" s="9" t="s">
        <v>31</v>
      </c>
      <c r="B64" s="9" t="s">
        <v>19</v>
      </c>
      <c r="C64" s="10" t="s">
        <v>177</v>
      </c>
      <c r="D64" s="10" t="s">
        <v>1151</v>
      </c>
      <c r="E64" s="10" t="s">
        <v>1088</v>
      </c>
      <c r="F64" s="9" t="n">
        <v>122.1</v>
      </c>
      <c r="G64" s="10" t="s">
        <v>770</v>
      </c>
    </row>
    <row r="65" customFormat="false" ht="15" hidden="false" customHeight="false" outlineLevel="0" collapsed="false">
      <c r="A65" s="9" t="s">
        <v>31</v>
      </c>
      <c r="B65" s="9" t="s">
        <v>19</v>
      </c>
      <c r="C65" s="10" t="s">
        <v>177</v>
      </c>
      <c r="D65" s="9" t="s">
        <v>1152</v>
      </c>
      <c r="E65" s="10" t="s">
        <v>1088</v>
      </c>
      <c r="F65" s="9" t="n">
        <v>250.7</v>
      </c>
      <c r="G65" s="10" t="s">
        <v>1153</v>
      </c>
    </row>
    <row r="66" customFormat="false" ht="15" hidden="false" customHeight="false" outlineLevel="0" collapsed="false">
      <c r="A66" s="9" t="s">
        <v>31</v>
      </c>
      <c r="B66" s="9" t="s">
        <v>19</v>
      </c>
      <c r="C66" s="10" t="s">
        <v>177</v>
      </c>
      <c r="D66" s="9" t="s">
        <v>1154</v>
      </c>
      <c r="E66" s="10" t="s">
        <v>1088</v>
      </c>
      <c r="F66" s="9" t="n">
        <v>33.5</v>
      </c>
      <c r="G66" s="10" t="s">
        <v>202</v>
      </c>
    </row>
    <row r="67" customFormat="false" ht="15" hidden="false" customHeight="false" outlineLevel="0" collapsed="false">
      <c r="A67" s="9" t="s">
        <v>31</v>
      </c>
      <c r="B67" s="9" t="s">
        <v>27</v>
      </c>
      <c r="C67" s="10" t="s">
        <v>647</v>
      </c>
      <c r="D67" s="10" t="s">
        <v>1155</v>
      </c>
      <c r="E67" s="10" t="s">
        <v>1088</v>
      </c>
      <c r="F67" s="9" t="n">
        <v>78.9</v>
      </c>
      <c r="G67" s="10" t="s">
        <v>1156</v>
      </c>
    </row>
    <row r="68" customFormat="false" ht="15" hidden="false" customHeight="false" outlineLevel="0" collapsed="false">
      <c r="A68" s="9" t="s">
        <v>31</v>
      </c>
      <c r="B68" s="9" t="s">
        <v>27</v>
      </c>
      <c r="C68" s="10" t="s">
        <v>647</v>
      </c>
      <c r="D68" s="10" t="s">
        <v>1157</v>
      </c>
      <c r="E68" s="10" t="s">
        <v>1088</v>
      </c>
      <c r="F68" s="9" t="n">
        <v>155.3</v>
      </c>
      <c r="G68" s="10" t="s">
        <v>422</v>
      </c>
    </row>
    <row r="69" customFormat="false" ht="15" hidden="false" customHeight="false" outlineLevel="0" collapsed="false">
      <c r="A69" s="9" t="s">
        <v>31</v>
      </c>
      <c r="B69" s="9" t="s">
        <v>27</v>
      </c>
      <c r="C69" s="10" t="s">
        <v>647</v>
      </c>
      <c r="D69" s="10" t="s">
        <v>1158</v>
      </c>
      <c r="E69" s="10" t="s">
        <v>1088</v>
      </c>
      <c r="F69" s="9" t="n">
        <v>29.9</v>
      </c>
      <c r="G69" s="10" t="s">
        <v>213</v>
      </c>
    </row>
    <row r="70" customFormat="false" ht="15" hidden="false" customHeight="false" outlineLevel="0" collapsed="false">
      <c r="A70" s="9" t="s">
        <v>31</v>
      </c>
      <c r="B70" s="9" t="s">
        <v>27</v>
      </c>
      <c r="C70" s="10" t="s">
        <v>647</v>
      </c>
      <c r="D70" s="10" t="s">
        <v>1159</v>
      </c>
      <c r="E70" s="10" t="s">
        <v>1088</v>
      </c>
      <c r="F70" s="9" t="n">
        <v>77.8</v>
      </c>
      <c r="G70" s="10" t="s">
        <v>703</v>
      </c>
    </row>
    <row r="71" customFormat="false" ht="15" hidden="false" customHeight="false" outlineLevel="0" collapsed="false">
      <c r="A71" s="9" t="s">
        <v>31</v>
      </c>
      <c r="B71" s="9" t="s">
        <v>20</v>
      </c>
      <c r="C71" s="10" t="s">
        <v>832</v>
      </c>
      <c r="D71" s="10" t="s">
        <v>1160</v>
      </c>
      <c r="E71" s="10" t="s">
        <v>1088</v>
      </c>
      <c r="F71" s="9" t="n">
        <v>79.5</v>
      </c>
      <c r="G71" s="10" t="s">
        <v>834</v>
      </c>
    </row>
    <row r="72" customFormat="false" ht="15" hidden="false" customHeight="false" outlineLevel="0" collapsed="false">
      <c r="A72" s="9" t="s">
        <v>31</v>
      </c>
      <c r="B72" s="9" t="s">
        <v>20</v>
      </c>
      <c r="C72" s="10" t="s">
        <v>832</v>
      </c>
      <c r="D72" s="10" t="s">
        <v>1161</v>
      </c>
      <c r="E72" s="10" t="s">
        <v>1088</v>
      </c>
      <c r="F72" s="9" t="n">
        <v>85.6</v>
      </c>
      <c r="G72" s="10" t="s">
        <v>1162</v>
      </c>
    </row>
    <row r="73" customFormat="false" ht="15" hidden="false" customHeight="false" outlineLevel="0" collapsed="false">
      <c r="A73" s="9" t="s">
        <v>31</v>
      </c>
      <c r="B73" s="9" t="s">
        <v>26</v>
      </c>
      <c r="C73" s="10" t="s">
        <v>652</v>
      </c>
      <c r="D73" s="10" t="s">
        <v>1163</v>
      </c>
      <c r="E73" s="10" t="s">
        <v>1088</v>
      </c>
      <c r="F73" s="9" t="n">
        <v>375.2</v>
      </c>
      <c r="G73" s="10" t="s">
        <v>680</v>
      </c>
    </row>
    <row r="74" customFormat="false" ht="15" hidden="false" customHeight="false" outlineLevel="0" collapsed="false">
      <c r="A74" s="9" t="s">
        <v>31</v>
      </c>
      <c r="B74" s="9" t="s">
        <v>26</v>
      </c>
      <c r="C74" s="10" t="s">
        <v>652</v>
      </c>
      <c r="D74" s="10" t="s">
        <v>1164</v>
      </c>
      <c r="E74" s="10" t="s">
        <v>1088</v>
      </c>
      <c r="F74" s="9" t="n">
        <v>33.4</v>
      </c>
      <c r="G74" s="10" t="s">
        <v>680</v>
      </c>
    </row>
    <row r="75" customFormat="false" ht="15" hidden="false" customHeight="false" outlineLevel="0" collapsed="false">
      <c r="A75" s="9" t="s">
        <v>31</v>
      </c>
      <c r="B75" s="9" t="s">
        <v>26</v>
      </c>
      <c r="C75" s="10" t="s">
        <v>652</v>
      </c>
      <c r="D75" s="10" t="s">
        <v>1165</v>
      </c>
      <c r="E75" s="10" t="s">
        <v>1088</v>
      </c>
      <c r="F75" s="9" t="n">
        <v>38.6</v>
      </c>
      <c r="G75" s="10" t="s">
        <v>680</v>
      </c>
    </row>
    <row r="76" customFormat="false" ht="15" hidden="false" customHeight="false" outlineLevel="0" collapsed="false">
      <c r="A76" s="9" t="s">
        <v>31</v>
      </c>
      <c r="B76" s="9" t="s">
        <v>26</v>
      </c>
      <c r="C76" s="10" t="s">
        <v>652</v>
      </c>
      <c r="D76" s="10" t="s">
        <v>1166</v>
      </c>
      <c r="E76" s="10" t="s">
        <v>1088</v>
      </c>
      <c r="F76" s="9" t="n">
        <v>133.7</v>
      </c>
      <c r="G76" s="10" t="s">
        <v>1167</v>
      </c>
    </row>
    <row r="77" customFormat="false" ht="15" hidden="false" customHeight="false" outlineLevel="0" collapsed="false">
      <c r="A77" s="9" t="s">
        <v>31</v>
      </c>
      <c r="B77" s="9" t="s">
        <v>17</v>
      </c>
      <c r="C77" s="10" t="s">
        <v>705</v>
      </c>
      <c r="D77" s="10" t="s">
        <v>1168</v>
      </c>
      <c r="E77" s="10" t="s">
        <v>1088</v>
      </c>
      <c r="F77" s="9" t="n">
        <v>115.8</v>
      </c>
      <c r="G77" s="10" t="s">
        <v>1169</v>
      </c>
    </row>
    <row r="78" customFormat="false" ht="15" hidden="false" customHeight="false" outlineLevel="0" collapsed="false">
      <c r="A78" s="9" t="s">
        <v>31</v>
      </c>
      <c r="B78" s="9" t="s">
        <v>18</v>
      </c>
      <c r="C78" s="10" t="s">
        <v>79</v>
      </c>
      <c r="D78" s="10" t="s">
        <v>1170</v>
      </c>
      <c r="E78" s="10" t="s">
        <v>1088</v>
      </c>
      <c r="F78" s="9" t="n">
        <v>39.9</v>
      </c>
      <c r="G78" s="10" t="s">
        <v>81</v>
      </c>
    </row>
    <row r="79" customFormat="false" ht="15" hidden="false" customHeight="false" outlineLevel="0" collapsed="false">
      <c r="A79" s="9" t="s">
        <v>31</v>
      </c>
      <c r="B79" s="9" t="s">
        <v>18</v>
      </c>
      <c r="C79" s="10" t="s">
        <v>79</v>
      </c>
      <c r="D79" s="9" t="s">
        <v>1171</v>
      </c>
      <c r="E79" s="10" t="s">
        <v>1088</v>
      </c>
      <c r="F79" s="9" t="n">
        <v>503.8</v>
      </c>
      <c r="G79" s="10" t="s">
        <v>83</v>
      </c>
    </row>
    <row r="80" customFormat="false" ht="15" hidden="false" customHeight="false" outlineLevel="0" collapsed="false">
      <c r="A80" s="9" t="s">
        <v>31</v>
      </c>
      <c r="B80" s="9" t="s">
        <v>18</v>
      </c>
      <c r="C80" s="10" t="s">
        <v>79</v>
      </c>
      <c r="D80" s="9" t="s">
        <v>1172</v>
      </c>
      <c r="E80" s="10" t="s">
        <v>1088</v>
      </c>
      <c r="F80" s="9" t="n">
        <v>279.4</v>
      </c>
      <c r="G80" s="10" t="s">
        <v>83</v>
      </c>
    </row>
    <row r="81" customFormat="false" ht="15" hidden="false" customHeight="false" outlineLevel="0" collapsed="false">
      <c r="A81" s="9" t="s">
        <v>31</v>
      </c>
      <c r="B81" s="9" t="s">
        <v>18</v>
      </c>
      <c r="C81" s="10" t="s">
        <v>79</v>
      </c>
      <c r="D81" s="9" t="s">
        <v>1173</v>
      </c>
      <c r="E81" s="10" t="s">
        <v>1088</v>
      </c>
      <c r="F81" s="9" t="n">
        <v>227.5</v>
      </c>
      <c r="G81" s="10" t="s">
        <v>83</v>
      </c>
    </row>
    <row r="82" customFormat="false" ht="15" hidden="false" customHeight="false" outlineLevel="0" collapsed="false">
      <c r="A82" s="9" t="s">
        <v>31</v>
      </c>
      <c r="B82" s="9" t="s">
        <v>20</v>
      </c>
      <c r="C82" s="10" t="s">
        <v>281</v>
      </c>
      <c r="D82" s="10" t="s">
        <v>1174</v>
      </c>
      <c r="E82" s="10" t="s">
        <v>1088</v>
      </c>
      <c r="F82" s="9" t="n">
        <v>139.6</v>
      </c>
      <c r="G82" s="10" t="s">
        <v>1175</v>
      </c>
    </row>
    <row r="83" customFormat="false" ht="15" hidden="false" customHeight="false" outlineLevel="0" collapsed="false">
      <c r="A83" s="9" t="s">
        <v>31</v>
      </c>
      <c r="B83" s="9" t="s">
        <v>20</v>
      </c>
      <c r="C83" s="10" t="s">
        <v>281</v>
      </c>
      <c r="D83" s="10" t="s">
        <v>1176</v>
      </c>
      <c r="E83" s="10" t="s">
        <v>1088</v>
      </c>
      <c r="F83" s="9" t="n">
        <v>258.5</v>
      </c>
      <c r="G83" s="10" t="s">
        <v>1177</v>
      </c>
    </row>
    <row r="84" customFormat="false" ht="15" hidden="false" customHeight="false" outlineLevel="0" collapsed="false">
      <c r="A84" s="9" t="s">
        <v>31</v>
      </c>
      <c r="B84" s="9" t="s">
        <v>26</v>
      </c>
      <c r="C84" s="10" t="s">
        <v>281</v>
      </c>
      <c r="D84" s="10" t="s">
        <v>1178</v>
      </c>
      <c r="E84" s="10" t="s">
        <v>1088</v>
      </c>
      <c r="F84" s="9" t="n">
        <v>129.2</v>
      </c>
      <c r="G84" s="10" t="s">
        <v>1179</v>
      </c>
    </row>
    <row r="85" customFormat="false" ht="15" hidden="false" customHeight="false" outlineLevel="0" collapsed="false">
      <c r="A85" s="9" t="s">
        <v>31</v>
      </c>
      <c r="B85" s="9" t="s">
        <v>20</v>
      </c>
      <c r="C85" s="10" t="s">
        <v>281</v>
      </c>
      <c r="D85" s="10" t="s">
        <v>1180</v>
      </c>
      <c r="E85" s="10" t="s">
        <v>1088</v>
      </c>
      <c r="F85" s="9" t="n">
        <v>35.3</v>
      </c>
      <c r="G85" s="10" t="s">
        <v>847</v>
      </c>
    </row>
    <row r="86" customFormat="false" ht="15" hidden="false" customHeight="false" outlineLevel="0" collapsed="false">
      <c r="A86" s="9" t="s">
        <v>31</v>
      </c>
      <c r="B86" s="9" t="s">
        <v>20</v>
      </c>
      <c r="C86" s="10" t="s">
        <v>281</v>
      </c>
      <c r="D86" s="10" t="s">
        <v>1181</v>
      </c>
      <c r="E86" s="10" t="s">
        <v>1088</v>
      </c>
      <c r="F86" s="9" t="n">
        <v>29</v>
      </c>
      <c r="G86" s="10" t="s">
        <v>847</v>
      </c>
    </row>
    <row r="87" customFormat="false" ht="15" hidden="false" customHeight="false" outlineLevel="0" collapsed="false">
      <c r="A87" s="9" t="s">
        <v>31</v>
      </c>
      <c r="B87" s="9" t="s">
        <v>25</v>
      </c>
      <c r="C87" s="10" t="s">
        <v>461</v>
      </c>
      <c r="D87" s="10" t="s">
        <v>1182</v>
      </c>
      <c r="E87" s="10" t="s">
        <v>1088</v>
      </c>
      <c r="F87" s="9" t="n">
        <v>630.3</v>
      </c>
      <c r="G87" s="10" t="s">
        <v>524</v>
      </c>
    </row>
    <row r="88" customFormat="false" ht="15" hidden="false" customHeight="false" outlineLevel="0" collapsed="false">
      <c r="A88" s="9" t="s">
        <v>31</v>
      </c>
      <c r="B88" s="9" t="s">
        <v>25</v>
      </c>
      <c r="C88" s="10" t="s">
        <v>461</v>
      </c>
      <c r="D88" s="10" t="s">
        <v>1183</v>
      </c>
      <c r="E88" s="10" t="s">
        <v>1088</v>
      </c>
      <c r="F88" s="9" t="n">
        <v>1426.4</v>
      </c>
      <c r="G88" s="10" t="s">
        <v>478</v>
      </c>
    </row>
    <row r="89" customFormat="false" ht="15" hidden="false" customHeight="false" outlineLevel="0" collapsed="false">
      <c r="A89" s="9" t="s">
        <v>31</v>
      </c>
      <c r="B89" s="9" t="s">
        <v>25</v>
      </c>
      <c r="C89" s="10" t="s">
        <v>461</v>
      </c>
      <c r="D89" s="10" t="s">
        <v>1184</v>
      </c>
      <c r="E89" s="10" t="s">
        <v>1088</v>
      </c>
      <c r="F89" s="9" t="n">
        <v>42.8</v>
      </c>
      <c r="G89" s="10" t="s">
        <v>472</v>
      </c>
    </row>
    <row r="90" customFormat="false" ht="15" hidden="false" customHeight="false" outlineLevel="0" collapsed="false">
      <c r="A90" s="9" t="s">
        <v>31</v>
      </c>
      <c r="B90" s="9" t="s">
        <v>25</v>
      </c>
      <c r="C90" s="10" t="s">
        <v>461</v>
      </c>
      <c r="D90" s="10" t="s">
        <v>1185</v>
      </c>
      <c r="E90" s="10" t="s">
        <v>1088</v>
      </c>
      <c r="F90" s="9" t="n">
        <v>18.1</v>
      </c>
      <c r="G90" s="10" t="s">
        <v>491</v>
      </c>
    </row>
    <row r="91" customFormat="false" ht="15" hidden="false" customHeight="false" outlineLevel="0" collapsed="false">
      <c r="A91" s="9" t="s">
        <v>31</v>
      </c>
      <c r="B91" s="9" t="s">
        <v>25</v>
      </c>
      <c r="C91" s="10" t="s">
        <v>461</v>
      </c>
      <c r="D91" s="10" t="s">
        <v>1186</v>
      </c>
      <c r="E91" s="10" t="s">
        <v>1088</v>
      </c>
      <c r="F91" s="9" t="n">
        <v>78.4</v>
      </c>
      <c r="G91" s="10" t="s">
        <v>482</v>
      </c>
    </row>
    <row r="92" customFormat="false" ht="15" hidden="false" customHeight="false" outlineLevel="0" collapsed="false">
      <c r="A92" s="9" t="s">
        <v>31</v>
      </c>
      <c r="B92" s="9" t="s">
        <v>25</v>
      </c>
      <c r="C92" s="10" t="s">
        <v>461</v>
      </c>
      <c r="D92" s="10" t="s">
        <v>1187</v>
      </c>
      <c r="E92" s="10" t="s">
        <v>1088</v>
      </c>
      <c r="F92" s="9" t="n">
        <v>1238.2</v>
      </c>
      <c r="G92" s="10" t="s">
        <v>478</v>
      </c>
    </row>
    <row r="93" customFormat="false" ht="15" hidden="false" customHeight="false" outlineLevel="0" collapsed="false">
      <c r="A93" s="9" t="s">
        <v>31</v>
      </c>
      <c r="B93" s="9" t="s">
        <v>25</v>
      </c>
      <c r="C93" s="10" t="s">
        <v>461</v>
      </c>
      <c r="D93" s="10" t="s">
        <v>1188</v>
      </c>
      <c r="E93" s="10" t="s">
        <v>1088</v>
      </c>
      <c r="F93" s="9" t="n">
        <v>2676.9</v>
      </c>
      <c r="G93" s="10" t="s">
        <v>524</v>
      </c>
    </row>
    <row r="94" customFormat="false" ht="15" hidden="false" customHeight="false" outlineLevel="0" collapsed="false">
      <c r="A94" s="9" t="s">
        <v>31</v>
      </c>
      <c r="B94" s="9" t="s">
        <v>25</v>
      </c>
      <c r="C94" s="10" t="s">
        <v>461</v>
      </c>
      <c r="D94" s="10" t="s">
        <v>1189</v>
      </c>
      <c r="E94" s="10" t="s">
        <v>1088</v>
      </c>
      <c r="F94" s="9" t="n">
        <v>30.4</v>
      </c>
      <c r="G94" s="10" t="s">
        <v>504</v>
      </c>
    </row>
    <row r="95" customFormat="false" ht="15" hidden="false" customHeight="false" outlineLevel="0" collapsed="false">
      <c r="A95" s="9" t="s">
        <v>31</v>
      </c>
      <c r="B95" s="9" t="s">
        <v>25</v>
      </c>
      <c r="C95" s="10" t="s">
        <v>461</v>
      </c>
      <c r="D95" s="9" t="s">
        <v>1190</v>
      </c>
      <c r="E95" s="10" t="s">
        <v>1088</v>
      </c>
      <c r="F95" s="9" t="n">
        <v>4390.8</v>
      </c>
      <c r="G95" s="10" t="s">
        <v>949</v>
      </c>
    </row>
    <row r="96" customFormat="false" ht="15" hidden="false" customHeight="false" outlineLevel="0" collapsed="false">
      <c r="A96" s="9" t="s">
        <v>31</v>
      </c>
      <c r="B96" s="9" t="s">
        <v>25</v>
      </c>
      <c r="C96" s="10" t="s">
        <v>461</v>
      </c>
      <c r="D96" s="9" t="s">
        <v>1191</v>
      </c>
      <c r="E96" s="10" t="s">
        <v>1088</v>
      </c>
      <c r="F96" s="9" t="n">
        <v>84.1</v>
      </c>
      <c r="G96" s="10" t="s">
        <v>949</v>
      </c>
    </row>
    <row r="97" customFormat="false" ht="15" hidden="false" customHeight="false" outlineLevel="0" collapsed="false">
      <c r="A97" s="9" t="s">
        <v>31</v>
      </c>
      <c r="B97" s="9" t="s">
        <v>25</v>
      </c>
      <c r="C97" s="10" t="s">
        <v>461</v>
      </c>
      <c r="D97" s="9" t="s">
        <v>1192</v>
      </c>
      <c r="E97" s="10" t="s">
        <v>1088</v>
      </c>
      <c r="F97" s="9" t="n">
        <v>1290.5</v>
      </c>
      <c r="G97" s="10" t="s">
        <v>949</v>
      </c>
    </row>
    <row r="98" customFormat="false" ht="15" hidden="false" customHeight="false" outlineLevel="0" collapsed="false">
      <c r="A98" s="9" t="s">
        <v>31</v>
      </c>
      <c r="B98" s="9" t="s">
        <v>25</v>
      </c>
      <c r="C98" s="10" t="s">
        <v>461</v>
      </c>
      <c r="D98" s="9" t="s">
        <v>1193</v>
      </c>
      <c r="E98" s="10" t="s">
        <v>1088</v>
      </c>
      <c r="F98" s="9" t="n">
        <v>7936.8</v>
      </c>
      <c r="G98" s="10" t="s">
        <v>534</v>
      </c>
    </row>
    <row r="99" customFormat="false" ht="15" hidden="false" customHeight="false" outlineLevel="0" collapsed="false">
      <c r="A99" s="9" t="s">
        <v>31</v>
      </c>
      <c r="B99" s="9" t="s">
        <v>25</v>
      </c>
      <c r="C99" s="10" t="s">
        <v>474</v>
      </c>
      <c r="D99" s="10" t="s">
        <v>1194</v>
      </c>
      <c r="E99" s="10" t="s">
        <v>1088</v>
      </c>
      <c r="F99" s="9" t="n">
        <v>951.3</v>
      </c>
      <c r="G99" s="10" t="s">
        <v>1195</v>
      </c>
    </row>
    <row r="100" customFormat="false" ht="15" hidden="false" customHeight="false" outlineLevel="0" collapsed="false">
      <c r="A100" s="9" t="s">
        <v>31</v>
      </c>
      <c r="B100" s="9" t="s">
        <v>25</v>
      </c>
      <c r="C100" s="10" t="s">
        <v>474</v>
      </c>
      <c r="D100" s="10" t="s">
        <v>1196</v>
      </c>
      <c r="E100" s="10" t="s">
        <v>1088</v>
      </c>
      <c r="F100" s="9" t="n">
        <v>6361</v>
      </c>
      <c r="G100" s="10" t="s">
        <v>1197</v>
      </c>
    </row>
    <row r="101" customFormat="false" ht="15" hidden="false" customHeight="false" outlineLevel="0" collapsed="false">
      <c r="A101" s="9" t="s">
        <v>31</v>
      </c>
      <c r="B101" s="9" t="s">
        <v>25</v>
      </c>
      <c r="C101" s="10" t="s">
        <v>1083</v>
      </c>
      <c r="D101" s="9" t="s">
        <v>1198</v>
      </c>
      <c r="E101" s="10" t="s">
        <v>1088</v>
      </c>
      <c r="F101" s="9" t="n">
        <v>115.3</v>
      </c>
      <c r="G101" s="10" t="s">
        <v>1085</v>
      </c>
    </row>
    <row r="102" customFormat="false" ht="15" hidden="false" customHeight="false" outlineLevel="0" collapsed="false">
      <c r="A102" s="9" t="s">
        <v>31</v>
      </c>
      <c r="B102" s="9" t="s">
        <v>24</v>
      </c>
      <c r="C102" s="10" t="s">
        <v>431</v>
      </c>
      <c r="D102" s="10" t="s">
        <v>1199</v>
      </c>
      <c r="E102" s="10" t="s">
        <v>1088</v>
      </c>
      <c r="F102" s="9" t="n">
        <v>185</v>
      </c>
      <c r="G102" s="10" t="s">
        <v>1200</v>
      </c>
    </row>
    <row r="103" customFormat="false" ht="15" hidden="false" customHeight="false" outlineLevel="0" collapsed="false">
      <c r="A103" s="9" t="s">
        <v>31</v>
      </c>
      <c r="B103" s="9" t="s">
        <v>24</v>
      </c>
      <c r="C103" s="10" t="s">
        <v>431</v>
      </c>
      <c r="D103" s="10" t="s">
        <v>1201</v>
      </c>
      <c r="E103" s="10" t="s">
        <v>1088</v>
      </c>
      <c r="F103" s="9" t="n">
        <v>81.3</v>
      </c>
      <c r="G103" s="10" t="s">
        <v>436</v>
      </c>
    </row>
    <row r="104" customFormat="false" ht="15" hidden="false" customHeight="false" outlineLevel="0" collapsed="false">
      <c r="A104" s="9" t="s">
        <v>31</v>
      </c>
      <c r="B104" s="9" t="s">
        <v>24</v>
      </c>
      <c r="C104" s="10" t="s">
        <v>431</v>
      </c>
      <c r="D104" s="9" t="s">
        <v>1202</v>
      </c>
      <c r="E104" s="10" t="s">
        <v>1088</v>
      </c>
      <c r="F104" s="9" t="n">
        <v>734.2</v>
      </c>
      <c r="G104" s="10" t="s">
        <v>1203</v>
      </c>
    </row>
    <row r="105" customFormat="false" ht="15" hidden="false" customHeight="false" outlineLevel="0" collapsed="false">
      <c r="A105" s="9" t="s">
        <v>31</v>
      </c>
      <c r="B105" s="9" t="s">
        <v>24</v>
      </c>
      <c r="C105" s="10" t="s">
        <v>444</v>
      </c>
      <c r="D105" s="10" t="s">
        <v>1204</v>
      </c>
      <c r="E105" s="10" t="s">
        <v>1088</v>
      </c>
      <c r="F105" s="9" t="n">
        <v>31.7</v>
      </c>
      <c r="G105" s="10" t="s">
        <v>932</v>
      </c>
    </row>
    <row r="106" customFormat="false" ht="15" hidden="false" customHeight="false" outlineLevel="0" collapsed="false">
      <c r="A106" s="9" t="s">
        <v>31</v>
      </c>
      <c r="B106" s="9" t="s">
        <v>24</v>
      </c>
      <c r="C106" s="10" t="s">
        <v>444</v>
      </c>
      <c r="D106" s="10" t="s">
        <v>1205</v>
      </c>
      <c r="E106" s="10" t="s">
        <v>1088</v>
      </c>
      <c r="F106" s="9" t="n">
        <v>37.7</v>
      </c>
      <c r="G106" s="10" t="s">
        <v>932</v>
      </c>
    </row>
    <row r="107" customFormat="false" ht="15" hidden="false" customHeight="false" outlineLevel="0" collapsed="false">
      <c r="A107" s="9" t="s">
        <v>31</v>
      </c>
      <c r="B107" s="9" t="s">
        <v>24</v>
      </c>
      <c r="C107" s="10" t="s">
        <v>456</v>
      </c>
      <c r="D107" s="10" t="s">
        <v>1199</v>
      </c>
      <c r="E107" s="10" t="s">
        <v>1088</v>
      </c>
      <c r="F107" s="9" t="n">
        <v>185</v>
      </c>
      <c r="G107" s="10" t="s">
        <v>1200</v>
      </c>
    </row>
    <row r="108" customFormat="false" ht="15" hidden="false" customHeight="false" outlineLevel="0" collapsed="false">
      <c r="A108" s="9" t="s">
        <v>31</v>
      </c>
      <c r="B108" s="9" t="s">
        <v>24</v>
      </c>
      <c r="C108" s="10" t="s">
        <v>456</v>
      </c>
      <c r="D108" s="10" t="s">
        <v>1201</v>
      </c>
      <c r="E108" s="10" t="s">
        <v>1088</v>
      </c>
      <c r="F108" s="9" t="n">
        <v>81.3</v>
      </c>
      <c r="G108" s="10" t="s">
        <v>436</v>
      </c>
    </row>
    <row r="109" customFormat="false" ht="15" hidden="false" customHeight="false" outlineLevel="0" collapsed="false">
      <c r="A109" s="9" t="s">
        <v>31</v>
      </c>
      <c r="B109" s="9" t="s">
        <v>24</v>
      </c>
      <c r="C109" s="10" t="s">
        <v>456</v>
      </c>
      <c r="D109" s="9" t="s">
        <v>1202</v>
      </c>
      <c r="E109" s="10" t="s">
        <v>1088</v>
      </c>
      <c r="F109" s="9" t="n">
        <v>734.2</v>
      </c>
      <c r="G109" s="10" t="s">
        <v>1203</v>
      </c>
    </row>
    <row r="110" customFormat="false" ht="15" hidden="false" customHeight="false" outlineLevel="0" collapsed="false">
      <c r="A110" s="9" t="s">
        <v>31</v>
      </c>
      <c r="B110" s="9" t="s">
        <v>24</v>
      </c>
      <c r="C110" s="10" t="s">
        <v>457</v>
      </c>
      <c r="D110" s="10" t="s">
        <v>1204</v>
      </c>
      <c r="E110" s="10" t="s">
        <v>1088</v>
      </c>
      <c r="F110" s="9" t="n">
        <v>31.7</v>
      </c>
      <c r="G110" s="10" t="s">
        <v>932</v>
      </c>
    </row>
    <row r="111" customFormat="false" ht="15" hidden="false" customHeight="false" outlineLevel="0" collapsed="false">
      <c r="A111" s="9" t="s">
        <v>31</v>
      </c>
      <c r="B111" s="9" t="s">
        <v>24</v>
      </c>
      <c r="C111" s="10" t="s">
        <v>457</v>
      </c>
      <c r="D111" s="10" t="s">
        <v>1205</v>
      </c>
      <c r="E111" s="10" t="s">
        <v>1088</v>
      </c>
      <c r="F111" s="9" t="n">
        <v>37.7</v>
      </c>
      <c r="G111" s="10" t="s">
        <v>932</v>
      </c>
    </row>
    <row r="112" customFormat="false" ht="15" hidden="false" customHeight="false" outlineLevel="0" collapsed="false">
      <c r="A112" s="9" t="s">
        <v>31</v>
      </c>
      <c r="B112" s="9" t="s">
        <v>19</v>
      </c>
      <c r="C112" s="10" t="s">
        <v>211</v>
      </c>
      <c r="D112" s="10" t="s">
        <v>1206</v>
      </c>
      <c r="E112" s="10" t="s">
        <v>1088</v>
      </c>
      <c r="F112" s="9" t="n">
        <v>88.4</v>
      </c>
      <c r="G112" s="10" t="s">
        <v>238</v>
      </c>
    </row>
    <row r="113" customFormat="false" ht="15" hidden="false" customHeight="false" outlineLevel="0" collapsed="false">
      <c r="A113" s="9" t="s">
        <v>31</v>
      </c>
      <c r="B113" s="9" t="s">
        <v>19</v>
      </c>
      <c r="C113" s="10" t="s">
        <v>1207</v>
      </c>
      <c r="D113" s="9" t="s">
        <v>1208</v>
      </c>
      <c r="E113" s="10" t="s">
        <v>1088</v>
      </c>
      <c r="F113" s="9" t="n">
        <v>117.7</v>
      </c>
      <c r="G113" s="10" t="s">
        <v>1209</v>
      </c>
    </row>
    <row r="114" customFormat="false" ht="15" hidden="false" customHeight="false" outlineLevel="0" collapsed="false">
      <c r="A114" s="9" t="s">
        <v>31</v>
      </c>
      <c r="B114" s="9" t="s">
        <v>19</v>
      </c>
      <c r="C114" s="10" t="s">
        <v>1207</v>
      </c>
      <c r="D114" s="9" t="s">
        <v>1210</v>
      </c>
      <c r="E114" s="10" t="s">
        <v>1088</v>
      </c>
      <c r="F114" s="9" t="n">
        <v>55.6</v>
      </c>
      <c r="G114" s="10" t="s">
        <v>1209</v>
      </c>
    </row>
    <row r="115" customFormat="false" ht="15" hidden="false" customHeight="false" outlineLevel="0" collapsed="false">
      <c r="A115" s="9" t="s">
        <v>31</v>
      </c>
      <c r="B115" s="9" t="s">
        <v>19</v>
      </c>
      <c r="C115" s="10" t="s">
        <v>1207</v>
      </c>
      <c r="D115" s="9" t="s">
        <v>1211</v>
      </c>
      <c r="E115" s="10" t="s">
        <v>1088</v>
      </c>
      <c r="F115" s="9" t="n">
        <v>87.5</v>
      </c>
      <c r="G115" s="10" t="s">
        <v>1209</v>
      </c>
    </row>
    <row r="116" customFormat="false" ht="15" hidden="false" customHeight="false" outlineLevel="0" collapsed="false">
      <c r="A116" s="9" t="s">
        <v>31</v>
      </c>
      <c r="B116" s="9" t="s">
        <v>19</v>
      </c>
      <c r="C116" s="10" t="s">
        <v>823</v>
      </c>
      <c r="D116" s="10" t="s">
        <v>1212</v>
      </c>
      <c r="E116" s="10" t="s">
        <v>1088</v>
      </c>
      <c r="F116" s="9" t="n">
        <v>112.5</v>
      </c>
      <c r="G116" s="10" t="s">
        <v>825</v>
      </c>
    </row>
    <row r="117" customFormat="false" ht="15" hidden="false" customHeight="false" outlineLevel="0" collapsed="false">
      <c r="A117" s="9" t="s">
        <v>31</v>
      </c>
      <c r="B117" s="9" t="s">
        <v>19</v>
      </c>
      <c r="C117" s="10" t="s">
        <v>823</v>
      </c>
      <c r="D117" s="10" t="s">
        <v>1213</v>
      </c>
      <c r="E117" s="10" t="s">
        <v>1088</v>
      </c>
      <c r="F117" s="9" t="n">
        <v>249.2</v>
      </c>
      <c r="G117" s="10" t="s">
        <v>825</v>
      </c>
    </row>
    <row r="118" customFormat="false" ht="15" hidden="false" customHeight="false" outlineLevel="0" collapsed="false">
      <c r="A118" s="9" t="s">
        <v>31</v>
      </c>
      <c r="B118" s="9" t="s">
        <v>22</v>
      </c>
      <c r="C118" s="10" t="s">
        <v>371</v>
      </c>
      <c r="D118" s="10" t="s">
        <v>1214</v>
      </c>
      <c r="E118" s="10" t="s">
        <v>1088</v>
      </c>
      <c r="F118" s="9" t="n">
        <v>246.6</v>
      </c>
      <c r="G118" s="10" t="s">
        <v>235</v>
      </c>
    </row>
    <row r="119" customFormat="false" ht="15" hidden="false" customHeight="false" outlineLevel="0" collapsed="false">
      <c r="A119" s="9" t="s">
        <v>31</v>
      </c>
      <c r="B119" s="9" t="s">
        <v>22</v>
      </c>
      <c r="C119" s="10" t="s">
        <v>371</v>
      </c>
      <c r="D119" s="10" t="s">
        <v>1215</v>
      </c>
      <c r="E119" s="10" t="s">
        <v>1088</v>
      </c>
      <c r="F119" s="9" t="n">
        <v>29.5</v>
      </c>
      <c r="G119" s="10" t="s">
        <v>376</v>
      </c>
    </row>
    <row r="120" customFormat="false" ht="15" hidden="false" customHeight="false" outlineLevel="0" collapsed="false">
      <c r="A120" s="9" t="s">
        <v>31</v>
      </c>
      <c r="B120" s="9" t="s">
        <v>18</v>
      </c>
      <c r="C120" s="10" t="s">
        <v>105</v>
      </c>
      <c r="D120" s="10" t="s">
        <v>1216</v>
      </c>
      <c r="E120" s="10" t="s">
        <v>1088</v>
      </c>
      <c r="F120" s="9" t="n">
        <v>146.3</v>
      </c>
      <c r="G120" s="10" t="s">
        <v>1217</v>
      </c>
    </row>
    <row r="121" customFormat="false" ht="15" hidden="false" customHeight="false" outlineLevel="0" collapsed="false">
      <c r="A121" s="9" t="s">
        <v>31</v>
      </c>
      <c r="B121" s="9" t="s">
        <v>23</v>
      </c>
      <c r="C121" s="10" t="s">
        <v>105</v>
      </c>
      <c r="D121" s="10" t="s">
        <v>1218</v>
      </c>
      <c r="E121" s="10" t="s">
        <v>1088</v>
      </c>
      <c r="F121" s="9" t="n">
        <v>702.6</v>
      </c>
      <c r="G121" s="10" t="s">
        <v>238</v>
      </c>
    </row>
    <row r="122" customFormat="false" ht="15" hidden="false" customHeight="false" outlineLevel="0" collapsed="false">
      <c r="A122" s="9" t="s">
        <v>31</v>
      </c>
      <c r="B122" s="9" t="s">
        <v>18</v>
      </c>
      <c r="C122" s="10" t="s">
        <v>105</v>
      </c>
      <c r="D122" s="9" t="s">
        <v>1219</v>
      </c>
      <c r="E122" s="10" t="s">
        <v>1088</v>
      </c>
      <c r="F122" s="9" t="n">
        <v>98.8</v>
      </c>
      <c r="G122" s="10" t="s">
        <v>1217</v>
      </c>
    </row>
    <row r="123" customFormat="false" ht="15" hidden="false" customHeight="false" outlineLevel="0" collapsed="false">
      <c r="A123" s="9" t="s">
        <v>31</v>
      </c>
      <c r="B123" s="9" t="s">
        <v>18</v>
      </c>
      <c r="C123" s="10" t="s">
        <v>105</v>
      </c>
      <c r="D123" s="9" t="s">
        <v>1220</v>
      </c>
      <c r="E123" s="10" t="s">
        <v>1088</v>
      </c>
      <c r="F123" s="9" t="n">
        <v>223.1</v>
      </c>
      <c r="G123" s="10" t="s">
        <v>238</v>
      </c>
    </row>
    <row r="124" customFormat="false" ht="15" hidden="false" customHeight="false" outlineLevel="0" collapsed="false">
      <c r="A124" s="9" t="s">
        <v>31</v>
      </c>
      <c r="B124" s="9" t="s">
        <v>25</v>
      </c>
      <c r="C124" s="10" t="s">
        <v>105</v>
      </c>
      <c r="D124" s="9" t="s">
        <v>1221</v>
      </c>
      <c r="E124" s="10" t="s">
        <v>1088</v>
      </c>
      <c r="F124" s="9" t="n">
        <v>114.3</v>
      </c>
      <c r="G124" s="10" t="s">
        <v>446</v>
      </c>
    </row>
    <row r="125" customFormat="false" ht="15" hidden="false" customHeight="false" outlineLevel="0" collapsed="false">
      <c r="A125" s="9" t="s">
        <v>31</v>
      </c>
      <c r="B125" s="9" t="s">
        <v>1222</v>
      </c>
      <c r="C125" s="10" t="s">
        <v>1223</v>
      </c>
      <c r="D125" s="10" t="s">
        <v>1224</v>
      </c>
      <c r="E125" s="10" t="s">
        <v>1088</v>
      </c>
      <c r="F125" s="9" t="n">
        <v>124.1</v>
      </c>
      <c r="G125" s="10" t="s">
        <v>1225</v>
      </c>
    </row>
    <row r="126" customFormat="false" ht="15" hidden="false" customHeight="false" outlineLevel="0" collapsed="false">
      <c r="A126" s="9" t="s">
        <v>31</v>
      </c>
      <c r="B126" s="9" t="s">
        <v>1222</v>
      </c>
      <c r="C126" s="10" t="s">
        <v>1223</v>
      </c>
      <c r="D126" s="9" t="s">
        <v>1226</v>
      </c>
      <c r="E126" s="10" t="s">
        <v>1088</v>
      </c>
      <c r="F126" s="9" t="n">
        <v>1974.7</v>
      </c>
      <c r="G126" s="10" t="s">
        <v>1225</v>
      </c>
    </row>
    <row r="127" customFormat="false" ht="15" hidden="false" customHeight="false" outlineLevel="0" collapsed="false">
      <c r="A127" s="9" t="s">
        <v>31</v>
      </c>
      <c r="B127" s="9" t="s">
        <v>1222</v>
      </c>
      <c r="C127" s="10" t="s">
        <v>1227</v>
      </c>
      <c r="D127" s="10" t="s">
        <v>1228</v>
      </c>
      <c r="E127" s="10" t="s">
        <v>1088</v>
      </c>
      <c r="F127" s="9" t="n">
        <v>250.1</v>
      </c>
      <c r="G127" s="10" t="s">
        <v>493</v>
      </c>
    </row>
    <row r="128" customFormat="false" ht="15" hidden="false" customHeight="false" outlineLevel="0" collapsed="false">
      <c r="A128" s="9" t="s">
        <v>31</v>
      </c>
      <c r="B128" s="9" t="s">
        <v>1222</v>
      </c>
      <c r="C128" s="10" t="s">
        <v>1227</v>
      </c>
      <c r="D128" s="10" t="s">
        <v>1229</v>
      </c>
      <c r="E128" s="10" t="s">
        <v>1088</v>
      </c>
      <c r="F128" s="9" t="n">
        <v>22.1</v>
      </c>
      <c r="G128" s="10" t="s">
        <v>493</v>
      </c>
    </row>
    <row r="129" customFormat="false" ht="15" hidden="false" customHeight="false" outlineLevel="0" collapsed="false">
      <c r="A129" s="9" t="s">
        <v>31</v>
      </c>
      <c r="B129" s="9" t="s">
        <v>1222</v>
      </c>
      <c r="C129" s="10" t="s">
        <v>1227</v>
      </c>
      <c r="D129" s="10" t="s">
        <v>1230</v>
      </c>
      <c r="E129" s="10" t="s">
        <v>1088</v>
      </c>
      <c r="F129" s="9" t="n">
        <v>233.9</v>
      </c>
      <c r="G129" s="10" t="s">
        <v>493</v>
      </c>
    </row>
    <row r="130" customFormat="false" ht="15" hidden="false" customHeight="false" outlineLevel="0" collapsed="false">
      <c r="A130" s="9" t="s">
        <v>31</v>
      </c>
      <c r="B130" s="9" t="s">
        <v>1222</v>
      </c>
      <c r="C130" s="10" t="s">
        <v>1227</v>
      </c>
      <c r="D130" s="10" t="s">
        <v>1231</v>
      </c>
      <c r="E130" s="10" t="s">
        <v>1088</v>
      </c>
      <c r="F130" s="9" t="n">
        <v>186.6</v>
      </c>
      <c r="G130" s="10" t="s">
        <v>493</v>
      </c>
    </row>
    <row r="131" customFormat="false" ht="15" hidden="false" customHeight="false" outlineLevel="0" collapsed="false">
      <c r="A131" s="9" t="s">
        <v>31</v>
      </c>
      <c r="B131" s="9" t="s">
        <v>1222</v>
      </c>
      <c r="C131" s="10" t="s">
        <v>1227</v>
      </c>
      <c r="D131" s="10" t="s">
        <v>1232</v>
      </c>
      <c r="E131" s="10" t="s">
        <v>1088</v>
      </c>
      <c r="F131" s="9" t="n">
        <v>158.8</v>
      </c>
      <c r="G131" s="10" t="s">
        <v>493</v>
      </c>
    </row>
    <row r="132" customFormat="false" ht="15" hidden="false" customHeight="false" outlineLevel="0" collapsed="false">
      <c r="A132" s="9" t="s">
        <v>31</v>
      </c>
      <c r="B132" s="9" t="s">
        <v>1222</v>
      </c>
      <c r="C132" s="10" t="s">
        <v>1227</v>
      </c>
      <c r="D132" s="10" t="s">
        <v>1233</v>
      </c>
      <c r="E132" s="10" t="s">
        <v>1088</v>
      </c>
      <c r="F132" s="9" t="n">
        <v>109.7</v>
      </c>
      <c r="G132" s="10" t="s">
        <v>493</v>
      </c>
    </row>
    <row r="133" customFormat="false" ht="15" hidden="false" customHeight="false" outlineLevel="0" collapsed="false">
      <c r="A133" s="9" t="s">
        <v>31</v>
      </c>
      <c r="B133" s="9" t="s">
        <v>1222</v>
      </c>
      <c r="C133" s="10" t="s">
        <v>1227</v>
      </c>
      <c r="D133" s="10" t="s">
        <v>1234</v>
      </c>
      <c r="E133" s="10" t="s">
        <v>1088</v>
      </c>
      <c r="F133" s="9" t="n">
        <v>52.1</v>
      </c>
      <c r="G133" s="10" t="s">
        <v>493</v>
      </c>
    </row>
    <row r="134" customFormat="false" ht="15" hidden="false" customHeight="false" outlineLevel="0" collapsed="false">
      <c r="A134" s="9" t="s">
        <v>31</v>
      </c>
      <c r="B134" s="9" t="s">
        <v>1222</v>
      </c>
      <c r="C134" s="10" t="s">
        <v>1227</v>
      </c>
      <c r="D134" s="10" t="s">
        <v>1235</v>
      </c>
      <c r="E134" s="10" t="s">
        <v>1088</v>
      </c>
      <c r="F134" s="9" t="n">
        <v>123.5</v>
      </c>
      <c r="G134" s="10" t="s">
        <v>1236</v>
      </c>
    </row>
    <row r="135" customFormat="false" ht="15" hidden="false" customHeight="false" outlineLevel="0" collapsed="false">
      <c r="A135" s="9" t="s">
        <v>31</v>
      </c>
      <c r="B135" s="9" t="s">
        <v>1222</v>
      </c>
      <c r="C135" s="10" t="s">
        <v>1227</v>
      </c>
      <c r="D135" s="10" t="s">
        <v>1237</v>
      </c>
      <c r="E135" s="10" t="s">
        <v>1088</v>
      </c>
      <c r="F135" s="9" t="n">
        <v>235.1</v>
      </c>
      <c r="G135" s="10" t="s">
        <v>493</v>
      </c>
    </row>
    <row r="136" customFormat="false" ht="15" hidden="false" customHeight="false" outlineLevel="0" collapsed="false">
      <c r="A136" s="9" t="s">
        <v>31</v>
      </c>
      <c r="B136" s="9" t="s">
        <v>1222</v>
      </c>
      <c r="C136" s="10" t="s">
        <v>1227</v>
      </c>
      <c r="D136" s="10" t="s">
        <v>1238</v>
      </c>
      <c r="E136" s="10" t="s">
        <v>1088</v>
      </c>
      <c r="F136" s="9" t="n">
        <v>157.8</v>
      </c>
      <c r="G136" s="10" t="s">
        <v>493</v>
      </c>
    </row>
    <row r="137" customFormat="false" ht="15" hidden="false" customHeight="false" outlineLevel="0" collapsed="false">
      <c r="A137" s="9" t="s">
        <v>31</v>
      </c>
      <c r="B137" s="9" t="s">
        <v>1222</v>
      </c>
      <c r="C137" s="10" t="s">
        <v>1227</v>
      </c>
      <c r="D137" s="10" t="s">
        <v>1239</v>
      </c>
      <c r="E137" s="10" t="s">
        <v>1088</v>
      </c>
      <c r="F137" s="9" t="n">
        <v>109</v>
      </c>
      <c r="G137" s="10" t="s">
        <v>493</v>
      </c>
    </row>
    <row r="138" customFormat="false" ht="15" hidden="false" customHeight="false" outlineLevel="0" collapsed="false">
      <c r="A138" s="9" t="s">
        <v>31</v>
      </c>
      <c r="B138" s="9" t="s">
        <v>1222</v>
      </c>
      <c r="C138" s="10" t="s">
        <v>1227</v>
      </c>
      <c r="D138" s="10" t="s">
        <v>1240</v>
      </c>
      <c r="E138" s="10" t="s">
        <v>1088</v>
      </c>
      <c r="F138" s="9" t="n">
        <v>166.2</v>
      </c>
      <c r="G138" s="10" t="s">
        <v>493</v>
      </c>
    </row>
    <row r="139" customFormat="false" ht="15" hidden="false" customHeight="false" outlineLevel="0" collapsed="false">
      <c r="A139" s="9" t="s">
        <v>31</v>
      </c>
      <c r="B139" s="9" t="s">
        <v>1222</v>
      </c>
      <c r="C139" s="10" t="s">
        <v>1227</v>
      </c>
      <c r="D139" s="10" t="s">
        <v>1241</v>
      </c>
      <c r="E139" s="10" t="s">
        <v>1088</v>
      </c>
      <c r="F139" s="9" t="n">
        <v>186.2</v>
      </c>
      <c r="G139" s="10" t="s">
        <v>493</v>
      </c>
    </row>
    <row r="140" customFormat="false" ht="15" hidden="false" customHeight="false" outlineLevel="0" collapsed="false">
      <c r="A140" s="9" t="s">
        <v>31</v>
      </c>
      <c r="B140" s="9" t="s">
        <v>1222</v>
      </c>
      <c r="C140" s="10" t="s">
        <v>1227</v>
      </c>
      <c r="D140" s="10" t="s">
        <v>1242</v>
      </c>
      <c r="E140" s="10" t="s">
        <v>1088</v>
      </c>
      <c r="F140" s="9" t="n">
        <v>34.3</v>
      </c>
      <c r="G140" s="10" t="s">
        <v>493</v>
      </c>
    </row>
    <row r="141" customFormat="false" ht="15" hidden="false" customHeight="false" outlineLevel="0" collapsed="false">
      <c r="A141" s="9" t="s">
        <v>31</v>
      </c>
      <c r="B141" s="9" t="s">
        <v>1222</v>
      </c>
      <c r="C141" s="10" t="s">
        <v>1227</v>
      </c>
      <c r="D141" s="10" t="s">
        <v>1243</v>
      </c>
      <c r="E141" s="10" t="s">
        <v>1088</v>
      </c>
      <c r="F141" s="9" t="n">
        <v>29.7</v>
      </c>
      <c r="G141" s="10" t="s">
        <v>1236</v>
      </c>
    </row>
    <row r="142" customFormat="false" ht="15" hidden="false" customHeight="false" outlineLevel="0" collapsed="false">
      <c r="A142" s="9" t="s">
        <v>31</v>
      </c>
      <c r="B142" s="9" t="s">
        <v>1222</v>
      </c>
      <c r="C142" s="10" t="s">
        <v>1227</v>
      </c>
      <c r="D142" s="10" t="s">
        <v>1244</v>
      </c>
      <c r="E142" s="10" t="s">
        <v>1088</v>
      </c>
      <c r="F142" s="9" t="n">
        <v>189.9</v>
      </c>
      <c r="G142" s="10" t="s">
        <v>493</v>
      </c>
    </row>
    <row r="143" customFormat="false" ht="15" hidden="false" customHeight="false" outlineLevel="0" collapsed="false">
      <c r="A143" s="9" t="s">
        <v>31</v>
      </c>
      <c r="B143" s="9" t="s">
        <v>1222</v>
      </c>
      <c r="C143" s="10" t="s">
        <v>1227</v>
      </c>
      <c r="D143" s="10" t="s">
        <v>1245</v>
      </c>
      <c r="E143" s="10" t="s">
        <v>1088</v>
      </c>
      <c r="F143" s="9" t="n">
        <v>136.1</v>
      </c>
      <c r="G143" s="10" t="s">
        <v>493</v>
      </c>
    </row>
    <row r="144" customFormat="false" ht="15" hidden="false" customHeight="false" outlineLevel="0" collapsed="false">
      <c r="A144" s="9" t="s">
        <v>31</v>
      </c>
      <c r="B144" s="9" t="s">
        <v>1222</v>
      </c>
      <c r="C144" s="10" t="s">
        <v>1227</v>
      </c>
      <c r="D144" s="10" t="s">
        <v>1246</v>
      </c>
      <c r="E144" s="10" t="s">
        <v>1088</v>
      </c>
      <c r="F144" s="9" t="n">
        <v>69</v>
      </c>
      <c r="G144" s="10" t="s">
        <v>493</v>
      </c>
    </row>
    <row r="145" customFormat="false" ht="15" hidden="false" customHeight="false" outlineLevel="0" collapsed="false">
      <c r="A145" s="9" t="s">
        <v>31</v>
      </c>
      <c r="B145" s="9" t="s">
        <v>1222</v>
      </c>
      <c r="C145" s="10" t="s">
        <v>1227</v>
      </c>
      <c r="D145" s="10" t="s">
        <v>1247</v>
      </c>
      <c r="E145" s="10" t="s">
        <v>1088</v>
      </c>
      <c r="F145" s="9" t="n">
        <v>112.3</v>
      </c>
      <c r="G145" s="10" t="s">
        <v>493</v>
      </c>
    </row>
    <row r="146" customFormat="false" ht="15" hidden="false" customHeight="false" outlineLevel="0" collapsed="false">
      <c r="A146" s="9" t="s">
        <v>31</v>
      </c>
      <c r="B146" s="9" t="s">
        <v>1222</v>
      </c>
      <c r="C146" s="10" t="s">
        <v>1227</v>
      </c>
      <c r="D146" s="10" t="s">
        <v>1248</v>
      </c>
      <c r="E146" s="10" t="s">
        <v>1088</v>
      </c>
      <c r="F146" s="9" t="n">
        <v>82.3</v>
      </c>
      <c r="G146" s="10" t="s">
        <v>493</v>
      </c>
    </row>
    <row r="147" customFormat="false" ht="15" hidden="false" customHeight="false" outlineLevel="0" collapsed="false">
      <c r="A147" s="9" t="s">
        <v>31</v>
      </c>
      <c r="B147" s="9" t="s">
        <v>1222</v>
      </c>
      <c r="C147" s="10" t="s">
        <v>1227</v>
      </c>
      <c r="D147" s="10" t="s">
        <v>1249</v>
      </c>
      <c r="E147" s="10" t="s">
        <v>1088</v>
      </c>
      <c r="F147" s="9" t="n">
        <v>75</v>
      </c>
      <c r="G147" s="10" t="s">
        <v>493</v>
      </c>
    </row>
    <row r="148" customFormat="false" ht="15" hidden="false" customHeight="false" outlineLevel="0" collapsed="false">
      <c r="A148" s="9" t="s">
        <v>31</v>
      </c>
      <c r="B148" s="9" t="s">
        <v>21</v>
      </c>
      <c r="C148" s="10" t="s">
        <v>306</v>
      </c>
      <c r="D148" s="10" t="s">
        <v>1250</v>
      </c>
      <c r="E148" s="10" t="s">
        <v>1088</v>
      </c>
      <c r="F148" s="9" t="n">
        <v>149.3</v>
      </c>
      <c r="G148" s="10" t="s">
        <v>863</v>
      </c>
    </row>
    <row r="149" customFormat="false" ht="15" hidden="false" customHeight="false" outlineLevel="0" collapsed="false">
      <c r="A149" s="9" t="s">
        <v>31</v>
      </c>
      <c r="B149" s="9" t="s">
        <v>21</v>
      </c>
      <c r="C149" s="10" t="s">
        <v>306</v>
      </c>
      <c r="D149" s="10" t="s">
        <v>1251</v>
      </c>
      <c r="E149" s="10" t="s">
        <v>1088</v>
      </c>
      <c r="F149" s="9" t="n">
        <v>37.8</v>
      </c>
      <c r="G149" s="10" t="s">
        <v>865</v>
      </c>
    </row>
    <row r="150" customFormat="false" ht="15" hidden="false" customHeight="false" outlineLevel="0" collapsed="false">
      <c r="A150" s="9" t="s">
        <v>31</v>
      </c>
      <c r="B150" s="9" t="s">
        <v>21</v>
      </c>
      <c r="C150" s="10" t="s">
        <v>306</v>
      </c>
      <c r="D150" s="10" t="s">
        <v>1252</v>
      </c>
      <c r="E150" s="10" t="s">
        <v>1088</v>
      </c>
      <c r="F150" s="9" t="n">
        <v>42</v>
      </c>
      <c r="G150" s="10" t="s">
        <v>865</v>
      </c>
    </row>
    <row r="151" customFormat="false" ht="15" hidden="false" customHeight="false" outlineLevel="0" collapsed="false">
      <c r="A151" s="9" t="s">
        <v>31</v>
      </c>
      <c r="B151" s="9" t="s">
        <v>21</v>
      </c>
      <c r="C151" s="10" t="s">
        <v>306</v>
      </c>
      <c r="D151" s="10" t="s">
        <v>1253</v>
      </c>
      <c r="E151" s="10" t="s">
        <v>1088</v>
      </c>
      <c r="F151" s="9" t="n">
        <v>90.2</v>
      </c>
      <c r="G151" s="10" t="s">
        <v>348</v>
      </c>
    </row>
    <row r="152" customFormat="false" ht="15" hidden="false" customHeight="false" outlineLevel="0" collapsed="false">
      <c r="A152" s="9" t="s">
        <v>31</v>
      </c>
      <c r="B152" s="9" t="s">
        <v>21</v>
      </c>
      <c r="C152" s="10" t="s">
        <v>1254</v>
      </c>
      <c r="D152" s="10" t="s">
        <v>1255</v>
      </c>
      <c r="E152" s="10" t="s">
        <v>1088</v>
      </c>
      <c r="F152" s="9" t="n">
        <v>148.9</v>
      </c>
      <c r="G152" s="10" t="s">
        <v>109</v>
      </c>
    </row>
    <row r="153" customFormat="false" ht="15" hidden="false" customHeight="false" outlineLevel="0" collapsed="false">
      <c r="A153" s="9" t="s">
        <v>31</v>
      </c>
      <c r="B153" s="9" t="s">
        <v>21</v>
      </c>
      <c r="C153" s="10" t="s">
        <v>1254</v>
      </c>
      <c r="D153" s="10" t="s">
        <v>1256</v>
      </c>
      <c r="E153" s="10" t="s">
        <v>1088</v>
      </c>
      <c r="F153" s="9" t="n">
        <v>134.7</v>
      </c>
      <c r="G153" s="10" t="s">
        <v>109</v>
      </c>
    </row>
    <row r="154" customFormat="false" ht="15" hidden="false" customHeight="false" outlineLevel="0" collapsed="false">
      <c r="A154" s="9" t="s">
        <v>31</v>
      </c>
      <c r="B154" s="9" t="s">
        <v>21</v>
      </c>
      <c r="C154" s="10" t="s">
        <v>1254</v>
      </c>
      <c r="D154" s="10" t="s">
        <v>1257</v>
      </c>
      <c r="E154" s="10" t="s">
        <v>1088</v>
      </c>
      <c r="F154" s="9" t="n">
        <v>114.9</v>
      </c>
      <c r="G154" s="10" t="s">
        <v>109</v>
      </c>
    </row>
    <row r="155" customFormat="false" ht="15" hidden="false" customHeight="false" outlineLevel="0" collapsed="false">
      <c r="A155" s="9" t="s">
        <v>31</v>
      </c>
      <c r="B155" s="9" t="s">
        <v>21</v>
      </c>
      <c r="C155" s="10" t="s">
        <v>1254</v>
      </c>
      <c r="D155" s="10" t="s">
        <v>1258</v>
      </c>
      <c r="E155" s="10" t="s">
        <v>1088</v>
      </c>
      <c r="F155" s="9" t="n">
        <v>131.8</v>
      </c>
      <c r="G155" s="10" t="s">
        <v>109</v>
      </c>
    </row>
    <row r="156" customFormat="false" ht="15" hidden="false" customHeight="false" outlineLevel="0" collapsed="false">
      <c r="A156" s="9" t="s">
        <v>31</v>
      </c>
      <c r="B156" s="9" t="s">
        <v>21</v>
      </c>
      <c r="C156" s="10" t="s">
        <v>1254</v>
      </c>
      <c r="D156" s="10" t="s">
        <v>1259</v>
      </c>
      <c r="E156" s="10" t="s">
        <v>1088</v>
      </c>
      <c r="F156" s="9" t="n">
        <v>91.4</v>
      </c>
      <c r="G156" s="10" t="s">
        <v>109</v>
      </c>
    </row>
    <row r="157" customFormat="false" ht="15" hidden="false" customHeight="false" outlineLevel="0" collapsed="false">
      <c r="A157" s="9" t="s">
        <v>31</v>
      </c>
      <c r="B157" s="9" t="s">
        <v>21</v>
      </c>
      <c r="C157" s="10" t="s">
        <v>1254</v>
      </c>
      <c r="D157" s="10" t="s">
        <v>1260</v>
      </c>
      <c r="E157" s="10" t="s">
        <v>1088</v>
      </c>
      <c r="F157" s="9" t="n">
        <v>254.7</v>
      </c>
      <c r="G157" s="10" t="s">
        <v>1261</v>
      </c>
    </row>
    <row r="158" customFormat="false" ht="15" hidden="false" customHeight="false" outlineLevel="0" collapsed="false">
      <c r="A158" s="9" t="s">
        <v>31</v>
      </c>
      <c r="B158" s="9" t="s">
        <v>21</v>
      </c>
      <c r="C158" s="10" t="s">
        <v>1254</v>
      </c>
      <c r="D158" s="10" t="s">
        <v>1262</v>
      </c>
      <c r="E158" s="10" t="s">
        <v>1088</v>
      </c>
      <c r="F158" s="9" t="n">
        <v>140</v>
      </c>
      <c r="G158" s="10" t="s">
        <v>1261</v>
      </c>
    </row>
    <row r="159" customFormat="false" ht="15" hidden="false" customHeight="false" outlineLevel="0" collapsed="false">
      <c r="A159" s="9" t="s">
        <v>31</v>
      </c>
      <c r="B159" s="9" t="s">
        <v>21</v>
      </c>
      <c r="C159" s="10" t="s">
        <v>1254</v>
      </c>
      <c r="D159" s="10" t="s">
        <v>1263</v>
      </c>
      <c r="E159" s="10" t="s">
        <v>1088</v>
      </c>
      <c r="F159" s="9" t="n">
        <v>153</v>
      </c>
      <c r="G159" s="10" t="s">
        <v>1261</v>
      </c>
    </row>
    <row r="160" customFormat="false" ht="15" hidden="false" customHeight="false" outlineLevel="0" collapsed="false">
      <c r="A160" s="9" t="s">
        <v>31</v>
      </c>
      <c r="B160" s="9" t="s">
        <v>21</v>
      </c>
      <c r="C160" s="10" t="s">
        <v>1254</v>
      </c>
      <c r="D160" s="10" t="s">
        <v>1264</v>
      </c>
      <c r="E160" s="10" t="s">
        <v>1088</v>
      </c>
      <c r="F160" s="9" t="n">
        <v>169.5</v>
      </c>
      <c r="G160" s="10" t="s">
        <v>1261</v>
      </c>
    </row>
    <row r="161" customFormat="false" ht="15" hidden="false" customHeight="false" outlineLevel="0" collapsed="false">
      <c r="A161" s="9" t="s">
        <v>31</v>
      </c>
      <c r="B161" s="9" t="s">
        <v>21</v>
      </c>
      <c r="C161" s="10" t="s">
        <v>1254</v>
      </c>
      <c r="D161" s="10" t="s">
        <v>1265</v>
      </c>
      <c r="E161" s="10" t="s">
        <v>1088</v>
      </c>
      <c r="F161" s="9" t="n">
        <v>148.6</v>
      </c>
      <c r="G161" s="10" t="s">
        <v>1261</v>
      </c>
    </row>
    <row r="162" customFormat="false" ht="15" hidden="false" customHeight="false" outlineLevel="0" collapsed="false">
      <c r="A162" s="9" t="s">
        <v>31</v>
      </c>
      <c r="B162" s="9" t="s">
        <v>21</v>
      </c>
      <c r="C162" s="10" t="s">
        <v>1254</v>
      </c>
      <c r="D162" s="10" t="s">
        <v>1266</v>
      </c>
      <c r="E162" s="10" t="s">
        <v>1088</v>
      </c>
      <c r="F162" s="9" t="n">
        <v>134.7</v>
      </c>
      <c r="G162" s="10" t="s">
        <v>1261</v>
      </c>
    </row>
    <row r="163" customFormat="false" ht="15" hidden="false" customHeight="false" outlineLevel="0" collapsed="false">
      <c r="A163" s="9" t="s">
        <v>31</v>
      </c>
      <c r="B163" s="9" t="s">
        <v>18</v>
      </c>
      <c r="C163" s="10" t="s">
        <v>121</v>
      </c>
      <c r="D163" s="10" t="s">
        <v>1267</v>
      </c>
      <c r="E163" s="10" t="s">
        <v>1088</v>
      </c>
      <c r="F163" s="9" t="n">
        <v>109.6</v>
      </c>
      <c r="G163" s="10" t="s">
        <v>1268</v>
      </c>
    </row>
    <row r="164" customFormat="false" ht="15" hidden="false" customHeight="false" outlineLevel="0" collapsed="false">
      <c r="A164" s="9" t="s">
        <v>31</v>
      </c>
      <c r="B164" s="9" t="s">
        <v>18</v>
      </c>
      <c r="C164" s="10" t="s">
        <v>121</v>
      </c>
      <c r="D164" s="10" t="s">
        <v>1269</v>
      </c>
      <c r="E164" s="10" t="s">
        <v>1088</v>
      </c>
      <c r="F164" s="9" t="n">
        <v>109.4</v>
      </c>
      <c r="G164" s="10" t="s">
        <v>1270</v>
      </c>
    </row>
    <row r="165" customFormat="false" ht="15" hidden="false" customHeight="false" outlineLevel="0" collapsed="false">
      <c r="A165" s="9" t="s">
        <v>31</v>
      </c>
      <c r="B165" s="9" t="s">
        <v>18</v>
      </c>
      <c r="C165" s="10" t="s">
        <v>121</v>
      </c>
      <c r="D165" s="10" t="s">
        <v>1271</v>
      </c>
      <c r="E165" s="10" t="s">
        <v>1088</v>
      </c>
      <c r="F165" s="9" t="n">
        <v>108.9</v>
      </c>
      <c r="G165" s="10" t="s">
        <v>1272</v>
      </c>
    </row>
    <row r="166" customFormat="false" ht="15" hidden="false" customHeight="false" outlineLevel="0" collapsed="false">
      <c r="A166" s="9" t="s">
        <v>31</v>
      </c>
      <c r="B166" s="9" t="s">
        <v>18</v>
      </c>
      <c r="C166" s="10" t="s">
        <v>121</v>
      </c>
      <c r="D166" s="10" t="s">
        <v>1273</v>
      </c>
      <c r="E166" s="10" t="s">
        <v>1088</v>
      </c>
      <c r="F166" s="9" t="n">
        <v>22.2</v>
      </c>
      <c r="G166" s="10" t="s">
        <v>1272</v>
      </c>
    </row>
    <row r="167" customFormat="false" ht="15" hidden="false" customHeight="false" outlineLevel="0" collapsed="false">
      <c r="A167" s="9" t="s">
        <v>31</v>
      </c>
      <c r="B167" s="9" t="s">
        <v>18</v>
      </c>
      <c r="C167" s="10" t="s">
        <v>121</v>
      </c>
      <c r="D167" s="10" t="s">
        <v>1274</v>
      </c>
      <c r="E167" s="10" t="s">
        <v>1088</v>
      </c>
      <c r="F167" s="9" t="n">
        <v>78.4</v>
      </c>
      <c r="G167" s="10" t="s">
        <v>1275</v>
      </c>
    </row>
    <row r="168" customFormat="false" ht="15" hidden="false" customHeight="false" outlineLevel="0" collapsed="false">
      <c r="A168" s="9" t="s">
        <v>31</v>
      </c>
      <c r="B168" s="9" t="s">
        <v>18</v>
      </c>
      <c r="C168" s="10" t="s">
        <v>121</v>
      </c>
      <c r="D168" s="10" t="s">
        <v>1276</v>
      </c>
      <c r="E168" s="10" t="s">
        <v>1088</v>
      </c>
      <c r="F168" s="9" t="n">
        <v>75.3</v>
      </c>
      <c r="G168" s="10" t="s">
        <v>1275</v>
      </c>
    </row>
    <row r="169" customFormat="false" ht="15" hidden="false" customHeight="false" outlineLevel="0" collapsed="false">
      <c r="A169" s="9" t="s">
        <v>31</v>
      </c>
      <c r="B169" s="9" t="s">
        <v>18</v>
      </c>
      <c r="C169" s="10" t="s">
        <v>121</v>
      </c>
      <c r="D169" s="10" t="s">
        <v>1277</v>
      </c>
      <c r="E169" s="10" t="s">
        <v>1088</v>
      </c>
      <c r="F169" s="9" t="n">
        <v>81.1</v>
      </c>
      <c r="G169" s="10" t="s">
        <v>1278</v>
      </c>
    </row>
    <row r="170" customFormat="false" ht="15" hidden="false" customHeight="false" outlineLevel="0" collapsed="false">
      <c r="A170" s="9" t="s">
        <v>31</v>
      </c>
      <c r="B170" s="9" t="s">
        <v>18</v>
      </c>
      <c r="C170" s="10" t="s">
        <v>121</v>
      </c>
      <c r="D170" s="10" t="s">
        <v>1279</v>
      </c>
      <c r="E170" s="10" t="s">
        <v>1088</v>
      </c>
      <c r="F170" s="9" t="n">
        <v>81.6</v>
      </c>
      <c r="G170" s="10" t="s">
        <v>1280</v>
      </c>
    </row>
    <row r="171" customFormat="false" ht="15" hidden="false" customHeight="false" outlineLevel="0" collapsed="false">
      <c r="A171" s="9" t="s">
        <v>31</v>
      </c>
      <c r="B171" s="9" t="s">
        <v>18</v>
      </c>
      <c r="C171" s="10" t="s">
        <v>121</v>
      </c>
      <c r="D171" s="10" t="s">
        <v>1281</v>
      </c>
      <c r="E171" s="10" t="s">
        <v>1088</v>
      </c>
      <c r="F171" s="9" t="n">
        <v>82.1</v>
      </c>
      <c r="G171" s="10" t="s">
        <v>485</v>
      </c>
    </row>
    <row r="172" customFormat="false" ht="15" hidden="false" customHeight="false" outlineLevel="0" collapsed="false">
      <c r="A172" s="9" t="s">
        <v>31</v>
      </c>
      <c r="B172" s="9" t="s">
        <v>17</v>
      </c>
      <c r="C172" s="10" t="s">
        <v>50</v>
      </c>
      <c r="D172" s="10" t="s">
        <v>1282</v>
      </c>
      <c r="E172" s="10" t="s">
        <v>1088</v>
      </c>
      <c r="F172" s="9" t="n">
        <v>88.5</v>
      </c>
      <c r="G172" s="10" t="s">
        <v>1283</v>
      </c>
    </row>
    <row r="173" customFormat="false" ht="15" hidden="false" customHeight="false" outlineLevel="0" collapsed="false">
      <c r="A173" s="9" t="s">
        <v>31</v>
      </c>
      <c r="B173" s="9" t="s">
        <v>17</v>
      </c>
      <c r="C173" s="10" t="s">
        <v>50</v>
      </c>
      <c r="D173" s="10" t="s">
        <v>1284</v>
      </c>
      <c r="E173" s="10" t="s">
        <v>1088</v>
      </c>
      <c r="F173" s="9" t="n">
        <v>88.5</v>
      </c>
      <c r="G173" s="10" t="s">
        <v>1285</v>
      </c>
    </row>
    <row r="174" customFormat="false" ht="15" hidden="false" customHeight="false" outlineLevel="0" collapsed="false">
      <c r="A174" s="9" t="s">
        <v>31</v>
      </c>
      <c r="B174" s="9" t="s">
        <v>17</v>
      </c>
      <c r="C174" s="10" t="s">
        <v>50</v>
      </c>
      <c r="D174" s="10" t="s">
        <v>1286</v>
      </c>
      <c r="E174" s="10" t="s">
        <v>1088</v>
      </c>
      <c r="F174" s="9" t="n">
        <v>29.7</v>
      </c>
      <c r="G174" s="10" t="s">
        <v>56</v>
      </c>
    </row>
    <row r="175" customFormat="false" ht="15" hidden="false" customHeight="false" outlineLevel="0" collapsed="false">
      <c r="A175" s="9" t="s">
        <v>31</v>
      </c>
      <c r="B175" s="9" t="s">
        <v>17</v>
      </c>
      <c r="C175" s="10" t="s">
        <v>50</v>
      </c>
      <c r="D175" s="10" t="s">
        <v>1287</v>
      </c>
      <c r="E175" s="10" t="s">
        <v>1088</v>
      </c>
      <c r="F175" s="9" t="n">
        <v>105</v>
      </c>
      <c r="G175" s="10" t="s">
        <v>1288</v>
      </c>
    </row>
    <row r="176" customFormat="false" ht="15" hidden="false" customHeight="false" outlineLevel="0" collapsed="false">
      <c r="A176" s="9" t="s">
        <v>31</v>
      </c>
      <c r="B176" s="9" t="s">
        <v>17</v>
      </c>
      <c r="C176" s="10" t="s">
        <v>50</v>
      </c>
      <c r="D176" s="10" t="s">
        <v>1289</v>
      </c>
      <c r="E176" s="10" t="s">
        <v>1088</v>
      </c>
      <c r="F176" s="9" t="n">
        <v>14</v>
      </c>
      <c r="G176" s="10" t="s">
        <v>719</v>
      </c>
    </row>
    <row r="177" customFormat="false" ht="15" hidden="false" customHeight="false" outlineLevel="0" collapsed="false">
      <c r="A177" s="9" t="s">
        <v>31</v>
      </c>
      <c r="B177" s="9" t="s">
        <v>17</v>
      </c>
      <c r="C177" s="10" t="s">
        <v>1290</v>
      </c>
      <c r="D177" s="10" t="s">
        <v>1291</v>
      </c>
      <c r="E177" s="10" t="s">
        <v>1088</v>
      </c>
      <c r="F177" s="9" t="n">
        <v>479.6</v>
      </c>
      <c r="G177" s="10" t="s">
        <v>1292</v>
      </c>
    </row>
    <row r="178" customFormat="false" ht="15" hidden="false" customHeight="false" outlineLevel="0" collapsed="false">
      <c r="A178" s="9" t="s">
        <v>31</v>
      </c>
      <c r="B178" s="9" t="s">
        <v>17</v>
      </c>
      <c r="C178" s="10" t="s">
        <v>1290</v>
      </c>
      <c r="D178" s="9" t="s">
        <v>1293</v>
      </c>
      <c r="E178" s="10" t="s">
        <v>1088</v>
      </c>
      <c r="F178" s="9" t="n">
        <v>11067</v>
      </c>
      <c r="G178" s="10" t="s">
        <v>1292</v>
      </c>
    </row>
    <row r="179" customFormat="false" ht="15" hidden="false" customHeight="false" outlineLevel="0" collapsed="false">
      <c r="A179" s="9" t="s">
        <v>31</v>
      </c>
      <c r="B179" s="9" t="s">
        <v>17</v>
      </c>
      <c r="C179" s="10" t="s">
        <v>1294</v>
      </c>
      <c r="D179" s="10" t="s">
        <v>1295</v>
      </c>
      <c r="E179" s="10" t="s">
        <v>1088</v>
      </c>
      <c r="F179" s="9" t="n">
        <v>1196.5</v>
      </c>
      <c r="G179" s="10" t="s">
        <v>1292</v>
      </c>
    </row>
    <row r="180" customFormat="false" ht="15" hidden="false" customHeight="false" outlineLevel="0" collapsed="false">
      <c r="A180" s="9" t="s">
        <v>31</v>
      </c>
      <c r="B180" s="9" t="s">
        <v>17</v>
      </c>
      <c r="C180" s="10" t="s">
        <v>1294</v>
      </c>
      <c r="D180" s="10" t="s">
        <v>1296</v>
      </c>
      <c r="E180" s="10" t="s">
        <v>1088</v>
      </c>
      <c r="F180" s="9" t="n">
        <v>409.1</v>
      </c>
      <c r="G180" s="10" t="s">
        <v>1292</v>
      </c>
    </row>
    <row r="181" customFormat="false" ht="15" hidden="false" customHeight="false" outlineLevel="0" collapsed="false">
      <c r="A181" s="9" t="s">
        <v>31</v>
      </c>
      <c r="B181" s="9" t="s">
        <v>17</v>
      </c>
      <c r="C181" s="10" t="s">
        <v>1294</v>
      </c>
      <c r="D181" s="10" t="s">
        <v>1297</v>
      </c>
      <c r="E181" s="10" t="s">
        <v>1088</v>
      </c>
      <c r="F181" s="9" t="n">
        <v>299.6</v>
      </c>
      <c r="G181" s="10" t="s">
        <v>1292</v>
      </c>
    </row>
    <row r="182" customFormat="false" ht="15" hidden="false" customHeight="false" outlineLevel="0" collapsed="false">
      <c r="A182" s="9" t="s">
        <v>31</v>
      </c>
      <c r="B182" s="9" t="s">
        <v>17</v>
      </c>
      <c r="C182" s="10" t="s">
        <v>1294</v>
      </c>
      <c r="D182" s="10" t="s">
        <v>1298</v>
      </c>
      <c r="E182" s="10" t="s">
        <v>1088</v>
      </c>
      <c r="F182" s="9" t="n">
        <v>309.1</v>
      </c>
      <c r="G182" s="10" t="s">
        <v>1292</v>
      </c>
    </row>
    <row r="183" customFormat="false" ht="15" hidden="false" customHeight="false" outlineLevel="0" collapsed="false">
      <c r="A183" s="9" t="s">
        <v>31</v>
      </c>
      <c r="B183" s="9" t="s">
        <v>18</v>
      </c>
      <c r="C183" s="10" t="s">
        <v>141</v>
      </c>
      <c r="D183" s="10" t="s">
        <v>1299</v>
      </c>
      <c r="E183" s="10" t="s">
        <v>1088</v>
      </c>
      <c r="F183" s="9" t="n">
        <v>90.2</v>
      </c>
      <c r="G183" s="10" t="s">
        <v>145</v>
      </c>
    </row>
    <row r="184" customFormat="false" ht="15" hidden="false" customHeight="false" outlineLevel="0" collapsed="false">
      <c r="A184" s="9" t="s">
        <v>32</v>
      </c>
      <c r="B184" s="9" t="s">
        <v>19</v>
      </c>
      <c r="C184" s="10" t="s">
        <v>156</v>
      </c>
      <c r="D184" s="10" t="s">
        <v>1300</v>
      </c>
      <c r="E184" s="10" t="s">
        <v>1301</v>
      </c>
      <c r="F184" s="9" t="n">
        <v>63.5</v>
      </c>
      <c r="G184" s="10" t="s">
        <v>1302</v>
      </c>
    </row>
    <row r="185" customFormat="false" ht="15" hidden="false" customHeight="false" outlineLevel="0" collapsed="false">
      <c r="A185" s="9" t="s">
        <v>32</v>
      </c>
      <c r="B185" s="9" t="s">
        <v>19</v>
      </c>
      <c r="C185" s="10" t="s">
        <v>156</v>
      </c>
      <c r="D185" s="10" t="s">
        <v>1303</v>
      </c>
      <c r="E185" s="10" t="s">
        <v>1301</v>
      </c>
      <c r="F185" s="9" t="n">
        <v>64</v>
      </c>
      <c r="G185" s="10" t="s">
        <v>165</v>
      </c>
    </row>
    <row r="186" customFormat="false" ht="15" hidden="false" customHeight="false" outlineLevel="0" collapsed="false">
      <c r="A186" s="9" t="s">
        <v>32</v>
      </c>
      <c r="B186" s="9" t="s">
        <v>19</v>
      </c>
      <c r="C186" s="10" t="s">
        <v>177</v>
      </c>
      <c r="D186" s="10" t="s">
        <v>1304</v>
      </c>
      <c r="E186" s="10" t="s">
        <v>1305</v>
      </c>
      <c r="F186" s="9" t="n">
        <v>119.4</v>
      </c>
      <c r="G186" s="10" t="s">
        <v>187</v>
      </c>
    </row>
    <row r="187" customFormat="false" ht="15" hidden="false" customHeight="false" outlineLevel="0" collapsed="false">
      <c r="A187" s="9" t="s">
        <v>32</v>
      </c>
      <c r="B187" s="9" t="s">
        <v>19</v>
      </c>
      <c r="C187" s="10" t="s">
        <v>177</v>
      </c>
      <c r="D187" s="9" t="s">
        <v>1306</v>
      </c>
      <c r="E187" s="10" t="s">
        <v>1307</v>
      </c>
      <c r="F187" s="9" t="n">
        <v>38.5</v>
      </c>
      <c r="G187" s="10" t="s">
        <v>1308</v>
      </c>
    </row>
    <row r="188" customFormat="false" ht="15" hidden="false" customHeight="false" outlineLevel="0" collapsed="false">
      <c r="A188" s="9" t="s">
        <v>32</v>
      </c>
      <c r="B188" s="9" t="s">
        <v>25</v>
      </c>
      <c r="C188" s="10" t="s">
        <v>461</v>
      </c>
      <c r="D188" s="10" t="s">
        <v>1309</v>
      </c>
      <c r="E188" s="10" t="s">
        <v>1310</v>
      </c>
      <c r="F188" s="9" t="n">
        <v>83.2</v>
      </c>
      <c r="G188" s="10" t="s">
        <v>1311</v>
      </c>
    </row>
    <row r="189" customFormat="false" ht="15" hidden="false" customHeight="false" outlineLevel="0" collapsed="false">
      <c r="A189" s="9" t="s">
        <v>32</v>
      </c>
      <c r="B189" s="9" t="s">
        <v>25</v>
      </c>
      <c r="C189" s="10" t="s">
        <v>461</v>
      </c>
      <c r="D189" s="9" t="s">
        <v>1312</v>
      </c>
      <c r="E189" s="10" t="s">
        <v>1307</v>
      </c>
      <c r="F189" s="9" t="n">
        <v>17.7</v>
      </c>
      <c r="G189" s="10" t="s">
        <v>1313</v>
      </c>
    </row>
    <row r="190" customFormat="false" ht="15" hidden="false" customHeight="false" outlineLevel="0" collapsed="false">
      <c r="A190" s="9" t="s">
        <v>32</v>
      </c>
      <c r="B190" s="9" t="s">
        <v>25</v>
      </c>
      <c r="C190" s="10" t="s">
        <v>474</v>
      </c>
      <c r="D190" s="10" t="s">
        <v>1314</v>
      </c>
      <c r="E190" s="10" t="s">
        <v>1310</v>
      </c>
      <c r="F190" s="9" t="n">
        <v>20.9</v>
      </c>
      <c r="G190" s="10" t="s">
        <v>529</v>
      </c>
    </row>
    <row r="191" customFormat="false" ht="15" hidden="false" customHeight="false" outlineLevel="0" collapsed="false">
      <c r="A191" s="9" t="s">
        <v>32</v>
      </c>
      <c r="B191" s="9" t="s">
        <v>25</v>
      </c>
      <c r="C191" s="10" t="s">
        <v>474</v>
      </c>
      <c r="D191" s="9" t="s">
        <v>1315</v>
      </c>
      <c r="E191" s="10" t="s">
        <v>1310</v>
      </c>
      <c r="F191" s="9" t="n">
        <v>179</v>
      </c>
      <c r="G191" s="10" t="s">
        <v>482</v>
      </c>
    </row>
    <row r="192" customFormat="false" ht="15" hidden="false" customHeight="false" outlineLevel="0" collapsed="false">
      <c r="A192" s="9" t="s">
        <v>32</v>
      </c>
      <c r="B192" s="9" t="s">
        <v>25</v>
      </c>
      <c r="C192" s="10" t="s">
        <v>474</v>
      </c>
      <c r="D192" s="9" t="s">
        <v>1316</v>
      </c>
      <c r="E192" s="10" t="s">
        <v>1310</v>
      </c>
      <c r="F192" s="9" t="n">
        <v>22.2</v>
      </c>
      <c r="G192" s="10" t="s">
        <v>529</v>
      </c>
    </row>
    <row r="193" customFormat="false" ht="15" hidden="false" customHeight="false" outlineLevel="0" collapsed="false">
      <c r="A193" s="9" t="s">
        <v>32</v>
      </c>
      <c r="B193" s="9" t="s">
        <v>25</v>
      </c>
      <c r="C193" s="10" t="s">
        <v>474</v>
      </c>
      <c r="D193" s="9" t="s">
        <v>1312</v>
      </c>
      <c r="E193" s="10" t="s">
        <v>1307</v>
      </c>
      <c r="F193" s="9" t="n">
        <v>17.7</v>
      </c>
      <c r="G193" s="10" t="s">
        <v>1313</v>
      </c>
    </row>
    <row r="194" customFormat="false" ht="15" hidden="false" customHeight="false" outlineLevel="0" collapsed="false">
      <c r="A194" s="9" t="s">
        <v>32</v>
      </c>
      <c r="B194" s="9" t="s">
        <v>1222</v>
      </c>
      <c r="C194" s="10" t="s">
        <v>1223</v>
      </c>
      <c r="D194" s="10" t="s">
        <v>1317</v>
      </c>
      <c r="E194" s="10" t="s">
        <v>1301</v>
      </c>
      <c r="F194" s="9" t="n">
        <v>354</v>
      </c>
      <c r="G194" s="10" t="s">
        <v>1318</v>
      </c>
    </row>
    <row r="195" customFormat="false" ht="15" hidden="false" customHeight="false" outlineLevel="0" collapsed="false">
      <c r="A195" s="9" t="s">
        <v>32</v>
      </c>
      <c r="B195" s="9" t="s">
        <v>1222</v>
      </c>
      <c r="C195" s="10" t="s">
        <v>1223</v>
      </c>
      <c r="D195" s="10" t="s">
        <v>1319</v>
      </c>
      <c r="E195" s="10" t="s">
        <v>1301</v>
      </c>
      <c r="F195" s="9" t="n">
        <v>584</v>
      </c>
      <c r="G195" s="10" t="s">
        <v>1225</v>
      </c>
    </row>
    <row r="196" customFormat="false" ht="15" hidden="false" customHeight="false" outlineLevel="0" collapsed="false">
      <c r="A196" s="9" t="s">
        <v>32</v>
      </c>
      <c r="B196" s="9" t="s">
        <v>1320</v>
      </c>
      <c r="C196" s="10" t="s">
        <v>1223</v>
      </c>
      <c r="D196" s="10" t="s">
        <v>1321</v>
      </c>
      <c r="E196" s="10" t="s">
        <v>1301</v>
      </c>
      <c r="F196" s="9" t="n">
        <v>385.5</v>
      </c>
      <c r="G196" s="10" t="s">
        <v>1322</v>
      </c>
    </row>
    <row r="197" customFormat="false" ht="15" hidden="false" customHeight="false" outlineLevel="0" collapsed="false">
      <c r="A197" s="9" t="s">
        <v>32</v>
      </c>
      <c r="B197" s="9" t="s">
        <v>1222</v>
      </c>
      <c r="C197" s="10" t="s">
        <v>1223</v>
      </c>
      <c r="D197" s="10" t="s">
        <v>1323</v>
      </c>
      <c r="E197" s="10" t="s">
        <v>1301</v>
      </c>
      <c r="F197" s="9" t="n">
        <v>137.5</v>
      </c>
      <c r="G197" s="10" t="s">
        <v>1318</v>
      </c>
    </row>
    <row r="198" customFormat="false" ht="15" hidden="false" customHeight="false" outlineLevel="0" collapsed="false">
      <c r="A198" s="9" t="s">
        <v>32</v>
      </c>
      <c r="B198" s="9" t="s">
        <v>20</v>
      </c>
      <c r="C198" s="10" t="s">
        <v>1223</v>
      </c>
      <c r="D198" s="9" t="s">
        <v>1324</v>
      </c>
      <c r="E198" s="10" t="s">
        <v>1301</v>
      </c>
      <c r="F198" s="9" t="n">
        <v>81</v>
      </c>
      <c r="G198" s="10" t="s">
        <v>1318</v>
      </c>
    </row>
    <row r="199" customFormat="false" ht="15" hidden="false" customHeight="false" outlineLevel="0" collapsed="false">
      <c r="A199" s="9" t="s">
        <v>33</v>
      </c>
      <c r="B199" s="9" t="s">
        <v>26</v>
      </c>
      <c r="C199" s="10" t="s">
        <v>547</v>
      </c>
      <c r="D199" s="10" t="s">
        <v>1325</v>
      </c>
      <c r="E199" s="10" t="s">
        <v>1326</v>
      </c>
      <c r="F199" s="9" t="n">
        <v>548.2</v>
      </c>
      <c r="G199" s="10" t="s">
        <v>1094</v>
      </c>
    </row>
    <row r="200" customFormat="false" ht="15" hidden="false" customHeight="false" outlineLevel="0" collapsed="false">
      <c r="A200" s="9" t="s">
        <v>33</v>
      </c>
      <c r="B200" s="9" t="s">
        <v>26</v>
      </c>
      <c r="C200" s="10" t="s">
        <v>1098</v>
      </c>
      <c r="D200" s="9" t="s">
        <v>1327</v>
      </c>
      <c r="E200" s="10" t="s">
        <v>1328</v>
      </c>
      <c r="F200" s="9" t="n">
        <v>158.6</v>
      </c>
      <c r="G200" s="10" t="s">
        <v>608</v>
      </c>
    </row>
    <row r="201" customFormat="false" ht="15" hidden="false" customHeight="false" outlineLevel="0" collapsed="false">
      <c r="A201" s="9" t="s">
        <v>33</v>
      </c>
      <c r="B201" s="9" t="s">
        <v>26</v>
      </c>
      <c r="C201" s="10" t="s">
        <v>1098</v>
      </c>
      <c r="D201" s="9" t="s">
        <v>1329</v>
      </c>
      <c r="E201" s="10" t="s">
        <v>1326</v>
      </c>
      <c r="F201" s="9" t="n">
        <v>634.8</v>
      </c>
      <c r="G201" s="10" t="s">
        <v>608</v>
      </c>
    </row>
    <row r="202" customFormat="false" ht="15" hidden="false" customHeight="false" outlineLevel="0" collapsed="false">
      <c r="A202" s="9" t="s">
        <v>33</v>
      </c>
      <c r="B202" s="9" t="s">
        <v>26</v>
      </c>
      <c r="C202" s="10" t="s">
        <v>1098</v>
      </c>
      <c r="D202" s="9" t="s">
        <v>1330</v>
      </c>
      <c r="E202" s="10" t="s">
        <v>1326</v>
      </c>
      <c r="F202" s="9" t="n">
        <v>856.5</v>
      </c>
      <c r="G202" s="10" t="s">
        <v>608</v>
      </c>
    </row>
    <row r="203" customFormat="false" ht="15" hidden="false" customHeight="false" outlineLevel="0" collapsed="false">
      <c r="A203" s="9" t="s">
        <v>33</v>
      </c>
      <c r="B203" s="9" t="s">
        <v>26</v>
      </c>
      <c r="C203" s="10" t="s">
        <v>1098</v>
      </c>
      <c r="D203" s="9" t="s">
        <v>1331</v>
      </c>
      <c r="E203" s="10" t="s">
        <v>1326</v>
      </c>
      <c r="F203" s="9" t="n">
        <v>887.5</v>
      </c>
      <c r="G203" s="10" t="s">
        <v>608</v>
      </c>
    </row>
    <row r="204" customFormat="false" ht="15" hidden="false" customHeight="false" outlineLevel="0" collapsed="false">
      <c r="A204" s="9" t="s">
        <v>33</v>
      </c>
      <c r="B204" s="9" t="s">
        <v>26</v>
      </c>
      <c r="C204" s="10" t="s">
        <v>1098</v>
      </c>
      <c r="D204" s="9" t="s">
        <v>1332</v>
      </c>
      <c r="E204" s="10" t="s">
        <v>1326</v>
      </c>
      <c r="F204" s="9" t="n">
        <v>844.1</v>
      </c>
      <c r="G204" s="10" t="s">
        <v>608</v>
      </c>
    </row>
    <row r="205" customFormat="false" ht="15" hidden="false" customHeight="false" outlineLevel="0" collapsed="false">
      <c r="A205" s="9" t="s">
        <v>33</v>
      </c>
      <c r="B205" s="9" t="s">
        <v>26</v>
      </c>
      <c r="C205" s="10" t="s">
        <v>1098</v>
      </c>
      <c r="D205" s="9" t="s">
        <v>1333</v>
      </c>
      <c r="E205" s="10" t="s">
        <v>1326</v>
      </c>
      <c r="F205" s="9" t="n">
        <v>436.1</v>
      </c>
      <c r="G205" s="10" t="s">
        <v>608</v>
      </c>
    </row>
    <row r="206" customFormat="false" ht="15" hidden="false" customHeight="false" outlineLevel="0" collapsed="false">
      <c r="A206" s="9" t="s">
        <v>33</v>
      </c>
      <c r="B206" s="9" t="s">
        <v>26</v>
      </c>
      <c r="C206" s="10" t="s">
        <v>1334</v>
      </c>
      <c r="D206" s="9" t="s">
        <v>1335</v>
      </c>
      <c r="E206" s="10" t="s">
        <v>1326</v>
      </c>
      <c r="F206" s="9" t="n">
        <v>2452.2</v>
      </c>
      <c r="G206" s="10" t="s">
        <v>628</v>
      </c>
    </row>
    <row r="207" customFormat="false" ht="15" hidden="false" customHeight="false" outlineLevel="0" collapsed="false">
      <c r="A207" s="9" t="s">
        <v>33</v>
      </c>
      <c r="B207" s="9" t="s">
        <v>26</v>
      </c>
      <c r="C207" s="10" t="s">
        <v>1334</v>
      </c>
      <c r="D207" s="9" t="s">
        <v>1336</v>
      </c>
      <c r="E207" s="10" t="s">
        <v>1326</v>
      </c>
      <c r="F207" s="9" t="n">
        <v>2736.7</v>
      </c>
      <c r="G207" s="10" t="s">
        <v>628</v>
      </c>
    </row>
    <row r="208" customFormat="false" ht="15" hidden="false" customHeight="false" outlineLevel="0" collapsed="false">
      <c r="A208" s="9" t="s">
        <v>33</v>
      </c>
      <c r="B208" s="9" t="s">
        <v>26</v>
      </c>
      <c r="C208" s="10" t="s">
        <v>1334</v>
      </c>
      <c r="D208" s="9" t="s">
        <v>1337</v>
      </c>
      <c r="E208" s="10" t="s">
        <v>1326</v>
      </c>
      <c r="F208" s="9" t="n">
        <v>898.2</v>
      </c>
      <c r="G208" s="10" t="s">
        <v>628</v>
      </c>
    </row>
    <row r="209" customFormat="false" ht="15" hidden="false" customHeight="false" outlineLevel="0" collapsed="false">
      <c r="A209" s="9" t="s">
        <v>33</v>
      </c>
      <c r="B209" s="9" t="s">
        <v>26</v>
      </c>
      <c r="C209" s="10" t="s">
        <v>1334</v>
      </c>
      <c r="D209" s="9" t="s">
        <v>1338</v>
      </c>
      <c r="E209" s="10" t="s">
        <v>1326</v>
      </c>
      <c r="F209" s="9" t="n">
        <v>662.4</v>
      </c>
      <c r="G209" s="10" t="s">
        <v>628</v>
      </c>
    </row>
    <row r="210" customFormat="false" ht="15" hidden="false" customHeight="false" outlineLevel="0" collapsed="false">
      <c r="A210" s="9" t="s">
        <v>33</v>
      </c>
      <c r="B210" s="9" t="s">
        <v>26</v>
      </c>
      <c r="C210" s="10" t="s">
        <v>1334</v>
      </c>
      <c r="D210" s="9" t="s">
        <v>1339</v>
      </c>
      <c r="E210" s="10" t="s">
        <v>1326</v>
      </c>
      <c r="F210" s="9" t="n">
        <v>893</v>
      </c>
      <c r="G210" s="10" t="s">
        <v>628</v>
      </c>
    </row>
    <row r="211" customFormat="false" ht="15" hidden="false" customHeight="false" outlineLevel="0" collapsed="false">
      <c r="A211" s="9" t="s">
        <v>33</v>
      </c>
      <c r="B211" s="9" t="s">
        <v>26</v>
      </c>
      <c r="C211" s="10" t="s">
        <v>1334</v>
      </c>
      <c r="D211" s="9" t="s">
        <v>1340</v>
      </c>
      <c r="E211" s="10" t="s">
        <v>1326</v>
      </c>
      <c r="F211" s="9" t="n">
        <v>907.9</v>
      </c>
      <c r="G211" s="10" t="s">
        <v>628</v>
      </c>
    </row>
    <row r="212" customFormat="false" ht="15" hidden="false" customHeight="false" outlineLevel="0" collapsed="false">
      <c r="A212" s="9" t="s">
        <v>33</v>
      </c>
      <c r="B212" s="9" t="s">
        <v>26</v>
      </c>
      <c r="C212" s="10" t="s">
        <v>1334</v>
      </c>
      <c r="D212" s="9" t="s">
        <v>1341</v>
      </c>
      <c r="E212" s="10" t="s">
        <v>1326</v>
      </c>
      <c r="F212" s="9" t="n">
        <v>893.2</v>
      </c>
      <c r="G212" s="10" t="s">
        <v>628</v>
      </c>
    </row>
    <row r="213" customFormat="false" ht="15" hidden="false" customHeight="false" outlineLevel="0" collapsed="false">
      <c r="A213" s="9" t="s">
        <v>33</v>
      </c>
      <c r="B213" s="9" t="s">
        <v>26</v>
      </c>
      <c r="C213" s="10" t="s">
        <v>1334</v>
      </c>
      <c r="D213" s="9" t="s">
        <v>1342</v>
      </c>
      <c r="E213" s="10" t="s">
        <v>1326</v>
      </c>
      <c r="F213" s="9" t="n">
        <v>667.1</v>
      </c>
      <c r="G213" s="10" t="s">
        <v>628</v>
      </c>
    </row>
    <row r="214" customFormat="false" ht="15" hidden="false" customHeight="false" outlineLevel="0" collapsed="false">
      <c r="A214" s="9" t="s">
        <v>33</v>
      </c>
      <c r="B214" s="9" t="s">
        <v>26</v>
      </c>
      <c r="C214" s="10" t="s">
        <v>1069</v>
      </c>
      <c r="D214" s="10" t="s">
        <v>1343</v>
      </c>
      <c r="E214" s="10" t="s">
        <v>1326</v>
      </c>
      <c r="F214" s="9" t="n">
        <v>5528</v>
      </c>
      <c r="G214" s="10" t="s">
        <v>570</v>
      </c>
    </row>
    <row r="215" customFormat="false" ht="15" hidden="false" customHeight="false" outlineLevel="0" collapsed="false">
      <c r="A215" s="9" t="s">
        <v>33</v>
      </c>
      <c r="B215" s="9" t="s">
        <v>26</v>
      </c>
      <c r="C215" s="10" t="s">
        <v>1069</v>
      </c>
      <c r="D215" s="10" t="s">
        <v>1344</v>
      </c>
      <c r="E215" s="10" t="s">
        <v>1326</v>
      </c>
      <c r="F215" s="9" t="n">
        <v>5267</v>
      </c>
      <c r="G215" s="10" t="s">
        <v>570</v>
      </c>
    </row>
    <row r="216" customFormat="false" ht="15" hidden="false" customHeight="false" outlineLevel="0" collapsed="false">
      <c r="A216" s="9" t="s">
        <v>33</v>
      </c>
      <c r="B216" s="9" t="s">
        <v>26</v>
      </c>
      <c r="C216" s="10" t="s">
        <v>1069</v>
      </c>
      <c r="D216" s="10" t="s">
        <v>1345</v>
      </c>
      <c r="E216" s="10" t="s">
        <v>1326</v>
      </c>
      <c r="F216" s="9" t="n">
        <v>5109.8</v>
      </c>
      <c r="G216" s="10" t="s">
        <v>570</v>
      </c>
    </row>
    <row r="217" customFormat="false" ht="15" hidden="false" customHeight="false" outlineLevel="0" collapsed="false">
      <c r="A217" s="9" t="s">
        <v>33</v>
      </c>
      <c r="B217" s="9" t="s">
        <v>26</v>
      </c>
      <c r="C217" s="10" t="s">
        <v>1069</v>
      </c>
      <c r="D217" s="10" t="s">
        <v>1346</v>
      </c>
      <c r="E217" s="10" t="s">
        <v>1326</v>
      </c>
      <c r="F217" s="9" t="n">
        <v>4578.8</v>
      </c>
      <c r="G217" s="10" t="s">
        <v>570</v>
      </c>
    </row>
    <row r="218" customFormat="false" ht="15" hidden="false" customHeight="false" outlineLevel="0" collapsed="false">
      <c r="A218" s="9" t="s">
        <v>33</v>
      </c>
      <c r="B218" s="9" t="s">
        <v>26</v>
      </c>
      <c r="C218" s="10" t="s">
        <v>1069</v>
      </c>
      <c r="D218" s="10" t="s">
        <v>1347</v>
      </c>
      <c r="E218" s="10" t="s">
        <v>1326</v>
      </c>
      <c r="F218" s="9" t="n">
        <v>3782.3</v>
      </c>
      <c r="G218" s="10" t="s">
        <v>570</v>
      </c>
    </row>
    <row r="219" customFormat="false" ht="15" hidden="false" customHeight="false" outlineLevel="0" collapsed="false">
      <c r="A219" s="9" t="s">
        <v>33</v>
      </c>
      <c r="B219" s="9" t="s">
        <v>26</v>
      </c>
      <c r="C219" s="10" t="s">
        <v>1069</v>
      </c>
      <c r="D219" s="10" t="s">
        <v>1348</v>
      </c>
      <c r="E219" s="10" t="s">
        <v>1326</v>
      </c>
      <c r="F219" s="9" t="n">
        <v>4381.2</v>
      </c>
      <c r="G219" s="10" t="s">
        <v>570</v>
      </c>
    </row>
    <row r="220" customFormat="false" ht="15" hidden="false" customHeight="false" outlineLevel="0" collapsed="false">
      <c r="A220" s="9" t="s">
        <v>33</v>
      </c>
      <c r="B220" s="9" t="s">
        <v>26</v>
      </c>
      <c r="C220" s="10" t="s">
        <v>1069</v>
      </c>
      <c r="D220" s="10" t="s">
        <v>1349</v>
      </c>
      <c r="E220" s="10" t="s">
        <v>1326</v>
      </c>
      <c r="F220" s="9" t="n">
        <v>5207.3</v>
      </c>
      <c r="G220" s="10" t="s">
        <v>570</v>
      </c>
    </row>
    <row r="221" customFormat="false" ht="15" hidden="false" customHeight="false" outlineLevel="0" collapsed="false">
      <c r="A221" s="9" t="s">
        <v>33</v>
      </c>
      <c r="B221" s="9" t="s">
        <v>26</v>
      </c>
      <c r="C221" s="10" t="s">
        <v>1069</v>
      </c>
      <c r="D221" s="10" t="s">
        <v>1350</v>
      </c>
      <c r="E221" s="10" t="s">
        <v>1326</v>
      </c>
      <c r="F221" s="9" t="n">
        <v>5154.6</v>
      </c>
      <c r="G221" s="10" t="s">
        <v>561</v>
      </c>
    </row>
    <row r="222" customFormat="false" ht="15" hidden="false" customHeight="false" outlineLevel="0" collapsed="false">
      <c r="A222" s="9" t="s">
        <v>33</v>
      </c>
      <c r="B222" s="9" t="s">
        <v>26</v>
      </c>
      <c r="C222" s="10" t="s">
        <v>1069</v>
      </c>
      <c r="D222" s="10" t="s">
        <v>1351</v>
      </c>
      <c r="E222" s="10" t="s">
        <v>1326</v>
      </c>
      <c r="F222" s="9" t="n">
        <v>5395.9</v>
      </c>
      <c r="G222" s="10" t="s">
        <v>561</v>
      </c>
    </row>
    <row r="223" customFormat="false" ht="15" hidden="false" customHeight="false" outlineLevel="0" collapsed="false">
      <c r="A223" s="9" t="s">
        <v>33</v>
      </c>
      <c r="B223" s="9" t="s">
        <v>26</v>
      </c>
      <c r="C223" s="10" t="s">
        <v>1069</v>
      </c>
      <c r="D223" s="10" t="s">
        <v>1352</v>
      </c>
      <c r="E223" s="10" t="s">
        <v>1326</v>
      </c>
      <c r="F223" s="9" t="n">
        <v>5025.2</v>
      </c>
      <c r="G223" s="10" t="s">
        <v>551</v>
      </c>
    </row>
    <row r="224" customFormat="false" ht="15" hidden="false" customHeight="false" outlineLevel="0" collapsed="false">
      <c r="A224" s="9" t="s">
        <v>33</v>
      </c>
      <c r="B224" s="9" t="s">
        <v>26</v>
      </c>
      <c r="C224" s="10" t="s">
        <v>1069</v>
      </c>
      <c r="D224" s="10" t="s">
        <v>1353</v>
      </c>
      <c r="E224" s="10" t="s">
        <v>1326</v>
      </c>
      <c r="F224" s="9" t="n">
        <v>5189.3</v>
      </c>
      <c r="G224" s="10" t="s">
        <v>551</v>
      </c>
    </row>
    <row r="225" customFormat="false" ht="15" hidden="false" customHeight="false" outlineLevel="0" collapsed="false">
      <c r="A225" s="9" t="s">
        <v>33</v>
      </c>
      <c r="B225" s="9" t="s">
        <v>26</v>
      </c>
      <c r="C225" s="10" t="s">
        <v>1069</v>
      </c>
      <c r="D225" s="10" t="s">
        <v>1354</v>
      </c>
      <c r="E225" s="10" t="s">
        <v>1326</v>
      </c>
      <c r="F225" s="9" t="n">
        <v>5416</v>
      </c>
      <c r="G225" s="10" t="s">
        <v>551</v>
      </c>
    </row>
    <row r="226" customFormat="false" ht="15" hidden="false" customHeight="false" outlineLevel="0" collapsed="false">
      <c r="A226" s="9" t="s">
        <v>33</v>
      </c>
      <c r="B226" s="9" t="s">
        <v>26</v>
      </c>
      <c r="C226" s="10" t="s">
        <v>1069</v>
      </c>
      <c r="D226" s="10" t="s">
        <v>1355</v>
      </c>
      <c r="E226" s="10" t="s">
        <v>1326</v>
      </c>
      <c r="F226" s="9" t="n">
        <v>4896.1</v>
      </c>
      <c r="G226" s="10" t="s">
        <v>551</v>
      </c>
    </row>
    <row r="227" customFormat="false" ht="15" hidden="false" customHeight="false" outlineLevel="0" collapsed="false">
      <c r="A227" s="9" t="s">
        <v>33</v>
      </c>
      <c r="B227" s="9" t="s">
        <v>26</v>
      </c>
      <c r="C227" s="10" t="s">
        <v>1069</v>
      </c>
      <c r="D227" s="10" t="s">
        <v>1356</v>
      </c>
      <c r="E227" s="10" t="s">
        <v>1326</v>
      </c>
      <c r="F227" s="9" t="n">
        <v>4593.2</v>
      </c>
      <c r="G227" s="10" t="s">
        <v>551</v>
      </c>
    </row>
    <row r="228" customFormat="false" ht="15" hidden="false" customHeight="false" outlineLevel="0" collapsed="false">
      <c r="A228" s="9" t="s">
        <v>33</v>
      </c>
      <c r="B228" s="9" t="s">
        <v>26</v>
      </c>
      <c r="C228" s="10" t="s">
        <v>1069</v>
      </c>
      <c r="D228" s="10" t="s">
        <v>1357</v>
      </c>
      <c r="E228" s="10" t="s">
        <v>1326</v>
      </c>
      <c r="F228" s="9" t="n">
        <v>3935.8</v>
      </c>
      <c r="G228" s="10" t="s">
        <v>551</v>
      </c>
    </row>
    <row r="229" customFormat="false" ht="15" hidden="false" customHeight="false" outlineLevel="0" collapsed="false">
      <c r="A229" s="9" t="s">
        <v>33</v>
      </c>
      <c r="B229" s="9" t="s">
        <v>26</v>
      </c>
      <c r="C229" s="10" t="s">
        <v>1069</v>
      </c>
      <c r="D229" s="10" t="s">
        <v>1358</v>
      </c>
      <c r="E229" s="10" t="s">
        <v>1326</v>
      </c>
      <c r="F229" s="9" t="n">
        <v>4974.8</v>
      </c>
      <c r="G229" s="10" t="s">
        <v>551</v>
      </c>
    </row>
    <row r="230" customFormat="false" ht="15" hidden="false" customHeight="false" outlineLevel="0" collapsed="false">
      <c r="A230" s="9" t="s">
        <v>33</v>
      </c>
      <c r="B230" s="9" t="s">
        <v>26</v>
      </c>
      <c r="C230" s="10" t="s">
        <v>1069</v>
      </c>
      <c r="D230" s="10" t="s">
        <v>1359</v>
      </c>
      <c r="E230" s="10" t="s">
        <v>1326</v>
      </c>
      <c r="F230" s="9" t="n">
        <v>5036.9</v>
      </c>
      <c r="G230" s="10" t="s">
        <v>551</v>
      </c>
    </row>
    <row r="231" customFormat="false" ht="15" hidden="false" customHeight="false" outlineLevel="0" collapsed="false">
      <c r="A231" s="9" t="s">
        <v>33</v>
      </c>
      <c r="B231" s="9" t="s">
        <v>26</v>
      </c>
      <c r="C231" s="10" t="s">
        <v>1069</v>
      </c>
      <c r="D231" s="10" t="s">
        <v>1360</v>
      </c>
      <c r="E231" s="10" t="s">
        <v>1326</v>
      </c>
      <c r="F231" s="9" t="n">
        <v>4663.7</v>
      </c>
      <c r="G231" s="10" t="s">
        <v>551</v>
      </c>
    </row>
    <row r="232" customFormat="false" ht="15" hidden="false" customHeight="false" outlineLevel="0" collapsed="false">
      <c r="A232" s="9" t="s">
        <v>33</v>
      </c>
      <c r="B232" s="9" t="s">
        <v>26</v>
      </c>
      <c r="C232" s="10" t="s">
        <v>1069</v>
      </c>
      <c r="D232" s="10" t="s">
        <v>1361</v>
      </c>
      <c r="E232" s="10" t="s">
        <v>1326</v>
      </c>
      <c r="F232" s="9" t="n">
        <v>4820.5</v>
      </c>
      <c r="G232" s="10" t="s">
        <v>551</v>
      </c>
    </row>
    <row r="233" customFormat="false" ht="15" hidden="false" customHeight="false" outlineLevel="0" collapsed="false">
      <c r="A233" s="9" t="s">
        <v>33</v>
      </c>
      <c r="B233" s="9" t="s">
        <v>26</v>
      </c>
      <c r="C233" s="10" t="s">
        <v>1069</v>
      </c>
      <c r="D233" s="10" t="s">
        <v>1362</v>
      </c>
      <c r="E233" s="10" t="s">
        <v>1326</v>
      </c>
      <c r="F233" s="9" t="n">
        <v>4156.6</v>
      </c>
      <c r="G233" s="10" t="s">
        <v>551</v>
      </c>
    </row>
    <row r="234" customFormat="false" ht="15" hidden="false" customHeight="false" outlineLevel="0" collapsed="false">
      <c r="A234" s="9" t="s">
        <v>33</v>
      </c>
      <c r="B234" s="9" t="s">
        <v>26</v>
      </c>
      <c r="C234" s="10" t="s">
        <v>1069</v>
      </c>
      <c r="D234" s="10" t="s">
        <v>1363</v>
      </c>
      <c r="E234" s="10" t="s">
        <v>1326</v>
      </c>
      <c r="F234" s="9" t="n">
        <v>5073.6</v>
      </c>
      <c r="G234" s="10" t="s">
        <v>574</v>
      </c>
    </row>
    <row r="235" customFormat="false" ht="15" hidden="false" customHeight="false" outlineLevel="0" collapsed="false">
      <c r="A235" s="9" t="s">
        <v>33</v>
      </c>
      <c r="B235" s="9" t="s">
        <v>26</v>
      </c>
      <c r="C235" s="10" t="s">
        <v>1069</v>
      </c>
      <c r="D235" s="10" t="s">
        <v>1364</v>
      </c>
      <c r="E235" s="10" t="s">
        <v>1326</v>
      </c>
      <c r="F235" s="9" t="n">
        <v>4468.9</v>
      </c>
      <c r="G235" s="10" t="s">
        <v>574</v>
      </c>
    </row>
    <row r="236" customFormat="false" ht="15" hidden="false" customHeight="false" outlineLevel="0" collapsed="false">
      <c r="A236" s="9" t="s">
        <v>33</v>
      </c>
      <c r="B236" s="9" t="s">
        <v>26</v>
      </c>
      <c r="C236" s="10" t="s">
        <v>1069</v>
      </c>
      <c r="D236" s="10" t="s">
        <v>1365</v>
      </c>
      <c r="E236" s="10" t="s">
        <v>1326</v>
      </c>
      <c r="F236" s="9" t="n">
        <v>4204.1</v>
      </c>
      <c r="G236" s="10" t="s">
        <v>574</v>
      </c>
    </row>
    <row r="237" customFormat="false" ht="15" hidden="false" customHeight="false" outlineLevel="0" collapsed="false">
      <c r="A237" s="9" t="s">
        <v>33</v>
      </c>
      <c r="B237" s="9" t="s">
        <v>26</v>
      </c>
      <c r="C237" s="10" t="s">
        <v>1069</v>
      </c>
      <c r="D237" s="10" t="s">
        <v>1366</v>
      </c>
      <c r="E237" s="10" t="s">
        <v>1326</v>
      </c>
      <c r="F237" s="9" t="n">
        <v>4963.6</v>
      </c>
      <c r="G237" s="10" t="s">
        <v>574</v>
      </c>
    </row>
    <row r="238" customFormat="false" ht="15" hidden="false" customHeight="false" outlineLevel="0" collapsed="false">
      <c r="A238" s="9" t="s">
        <v>33</v>
      </c>
      <c r="B238" s="9" t="s">
        <v>26</v>
      </c>
      <c r="C238" s="10" t="s">
        <v>1069</v>
      </c>
      <c r="D238" s="10" t="s">
        <v>1367</v>
      </c>
      <c r="E238" s="10" t="s">
        <v>1326</v>
      </c>
      <c r="F238" s="9" t="n">
        <v>4470.3</v>
      </c>
      <c r="G238" s="10" t="s">
        <v>574</v>
      </c>
    </row>
    <row r="239" customFormat="false" ht="15" hidden="false" customHeight="false" outlineLevel="0" collapsed="false">
      <c r="A239" s="9" t="s">
        <v>33</v>
      </c>
      <c r="B239" s="9" t="s">
        <v>26</v>
      </c>
      <c r="C239" s="10" t="s">
        <v>1069</v>
      </c>
      <c r="D239" s="10" t="s">
        <v>1368</v>
      </c>
      <c r="E239" s="10" t="s">
        <v>1326</v>
      </c>
      <c r="F239" s="9" t="n">
        <v>4418.3</v>
      </c>
      <c r="G239" s="10" t="s">
        <v>574</v>
      </c>
    </row>
    <row r="240" customFormat="false" ht="15" hidden="false" customHeight="false" outlineLevel="0" collapsed="false">
      <c r="A240" s="9" t="s">
        <v>33</v>
      </c>
      <c r="B240" s="9" t="s">
        <v>26</v>
      </c>
      <c r="C240" s="10" t="s">
        <v>1069</v>
      </c>
      <c r="D240" s="10" t="s">
        <v>1369</v>
      </c>
      <c r="E240" s="10" t="s">
        <v>1326</v>
      </c>
      <c r="F240" s="9" t="n">
        <v>5126.9</v>
      </c>
      <c r="G240" s="10" t="s">
        <v>574</v>
      </c>
    </row>
    <row r="241" customFormat="false" ht="15" hidden="false" customHeight="false" outlineLevel="0" collapsed="false">
      <c r="A241" s="9" t="s">
        <v>33</v>
      </c>
      <c r="B241" s="9" t="s">
        <v>26</v>
      </c>
      <c r="C241" s="10" t="s">
        <v>1069</v>
      </c>
      <c r="D241" s="10" t="s">
        <v>1370</v>
      </c>
      <c r="E241" s="10" t="s">
        <v>1326</v>
      </c>
      <c r="F241" s="9" t="n">
        <v>5639.8</v>
      </c>
      <c r="G241" s="10" t="s">
        <v>574</v>
      </c>
    </row>
    <row r="242" customFormat="false" ht="15" hidden="false" customHeight="false" outlineLevel="0" collapsed="false">
      <c r="A242" s="9" t="s">
        <v>33</v>
      </c>
      <c r="B242" s="9" t="s">
        <v>26</v>
      </c>
      <c r="C242" s="10" t="s">
        <v>1069</v>
      </c>
      <c r="D242" s="10" t="s">
        <v>1371</v>
      </c>
      <c r="E242" s="10" t="s">
        <v>1326</v>
      </c>
      <c r="F242" s="9" t="n">
        <v>3993.2</v>
      </c>
      <c r="G242" s="10" t="s">
        <v>574</v>
      </c>
    </row>
    <row r="243" customFormat="false" ht="15" hidden="false" customHeight="false" outlineLevel="0" collapsed="false">
      <c r="A243" s="9" t="s">
        <v>33</v>
      </c>
      <c r="B243" s="9" t="s">
        <v>26</v>
      </c>
      <c r="C243" s="10" t="s">
        <v>1069</v>
      </c>
      <c r="D243" s="10" t="s">
        <v>1372</v>
      </c>
      <c r="E243" s="10" t="s">
        <v>1326</v>
      </c>
      <c r="F243" s="9" t="n">
        <v>4492.9</v>
      </c>
      <c r="G243" s="10" t="s">
        <v>1373</v>
      </c>
    </row>
    <row r="244" customFormat="false" ht="15" hidden="false" customHeight="false" outlineLevel="0" collapsed="false">
      <c r="A244" s="9" t="s">
        <v>33</v>
      </c>
      <c r="B244" s="9" t="s">
        <v>26</v>
      </c>
      <c r="C244" s="10" t="s">
        <v>1069</v>
      </c>
      <c r="D244" s="10" t="s">
        <v>1374</v>
      </c>
      <c r="E244" s="10" t="s">
        <v>1326</v>
      </c>
      <c r="F244" s="9" t="n">
        <v>5253.3</v>
      </c>
      <c r="G244" s="10" t="s">
        <v>1373</v>
      </c>
    </row>
    <row r="245" customFormat="false" ht="15" hidden="false" customHeight="false" outlineLevel="0" collapsed="false">
      <c r="A245" s="9" t="s">
        <v>33</v>
      </c>
      <c r="B245" s="9" t="s">
        <v>26</v>
      </c>
      <c r="C245" s="10" t="s">
        <v>1069</v>
      </c>
      <c r="D245" s="10" t="s">
        <v>1375</v>
      </c>
      <c r="E245" s="10" t="s">
        <v>1326</v>
      </c>
      <c r="F245" s="9" t="n">
        <v>4623</v>
      </c>
      <c r="G245" s="10" t="s">
        <v>1373</v>
      </c>
    </row>
    <row r="246" customFormat="false" ht="15" hidden="false" customHeight="false" outlineLevel="0" collapsed="false">
      <c r="A246" s="9" t="s">
        <v>33</v>
      </c>
      <c r="B246" s="9" t="s">
        <v>26</v>
      </c>
      <c r="C246" s="10" t="s">
        <v>1069</v>
      </c>
      <c r="D246" s="10" t="s">
        <v>1376</v>
      </c>
      <c r="E246" s="10" t="s">
        <v>1326</v>
      </c>
      <c r="F246" s="9" t="n">
        <v>4682.1</v>
      </c>
      <c r="G246" s="10" t="s">
        <v>1373</v>
      </c>
    </row>
    <row r="247" customFormat="false" ht="15" hidden="false" customHeight="false" outlineLevel="0" collapsed="false">
      <c r="A247" s="9" t="s">
        <v>33</v>
      </c>
      <c r="B247" s="9" t="s">
        <v>26</v>
      </c>
      <c r="C247" s="10" t="s">
        <v>1069</v>
      </c>
      <c r="D247" s="10" t="s">
        <v>1377</v>
      </c>
      <c r="E247" s="10" t="s">
        <v>1326</v>
      </c>
      <c r="F247" s="9" t="n">
        <v>4013.1</v>
      </c>
      <c r="G247" s="10" t="s">
        <v>1373</v>
      </c>
    </row>
    <row r="248" customFormat="false" ht="15" hidden="false" customHeight="false" outlineLevel="0" collapsed="false">
      <c r="A248" s="9" t="s">
        <v>33</v>
      </c>
      <c r="B248" s="9" t="s">
        <v>26</v>
      </c>
      <c r="C248" s="10" t="s">
        <v>1069</v>
      </c>
      <c r="D248" s="10" t="s">
        <v>1378</v>
      </c>
      <c r="E248" s="10" t="s">
        <v>1326</v>
      </c>
      <c r="F248" s="9" t="n">
        <v>4164.3</v>
      </c>
      <c r="G248" s="10" t="s">
        <v>1373</v>
      </c>
    </row>
    <row r="249" customFormat="false" ht="15" hidden="false" customHeight="false" outlineLevel="0" collapsed="false">
      <c r="A249" s="9" t="s">
        <v>33</v>
      </c>
      <c r="B249" s="9" t="s">
        <v>26</v>
      </c>
      <c r="C249" s="10" t="s">
        <v>1069</v>
      </c>
      <c r="D249" s="10" t="s">
        <v>1379</v>
      </c>
      <c r="E249" s="10" t="s">
        <v>1326</v>
      </c>
      <c r="F249" s="9" t="n">
        <v>4182.6</v>
      </c>
      <c r="G249" s="10" t="s">
        <v>1373</v>
      </c>
    </row>
    <row r="250" customFormat="false" ht="15" hidden="false" customHeight="false" outlineLevel="0" collapsed="false">
      <c r="A250" s="9" t="s">
        <v>33</v>
      </c>
      <c r="B250" s="9" t="s">
        <v>26</v>
      </c>
      <c r="C250" s="10" t="s">
        <v>1069</v>
      </c>
      <c r="D250" s="10" t="s">
        <v>1380</v>
      </c>
      <c r="E250" s="10" t="s">
        <v>1326</v>
      </c>
      <c r="F250" s="9" t="n">
        <v>4692.2</v>
      </c>
      <c r="G250" s="10" t="s">
        <v>1381</v>
      </c>
    </row>
    <row r="251" customFormat="false" ht="15" hidden="false" customHeight="false" outlineLevel="0" collapsed="false">
      <c r="A251" s="9" t="s">
        <v>33</v>
      </c>
      <c r="B251" s="9" t="s">
        <v>26</v>
      </c>
      <c r="C251" s="10" t="s">
        <v>1069</v>
      </c>
      <c r="D251" s="10" t="s">
        <v>1382</v>
      </c>
      <c r="E251" s="10" t="s">
        <v>1326</v>
      </c>
      <c r="F251" s="9" t="n">
        <v>4843.2</v>
      </c>
      <c r="G251" s="10" t="s">
        <v>1381</v>
      </c>
    </row>
    <row r="252" customFormat="false" ht="15" hidden="false" customHeight="false" outlineLevel="0" collapsed="false">
      <c r="A252" s="9" t="s">
        <v>33</v>
      </c>
      <c r="B252" s="9" t="s">
        <v>26</v>
      </c>
      <c r="C252" s="10" t="s">
        <v>1069</v>
      </c>
      <c r="D252" s="10" t="s">
        <v>1383</v>
      </c>
      <c r="E252" s="10" t="s">
        <v>1326</v>
      </c>
      <c r="F252" s="9" t="n">
        <v>4847.2</v>
      </c>
      <c r="G252" s="10" t="s">
        <v>1381</v>
      </c>
    </row>
    <row r="253" customFormat="false" ht="15" hidden="false" customHeight="false" outlineLevel="0" collapsed="false">
      <c r="A253" s="9" t="s">
        <v>33</v>
      </c>
      <c r="B253" s="9" t="s">
        <v>26</v>
      </c>
      <c r="C253" s="10" t="s">
        <v>1069</v>
      </c>
      <c r="D253" s="10" t="s">
        <v>1384</v>
      </c>
      <c r="E253" s="10" t="s">
        <v>1326</v>
      </c>
      <c r="F253" s="9" t="n">
        <v>4913.5</v>
      </c>
      <c r="G253" s="10" t="s">
        <v>1381</v>
      </c>
    </row>
    <row r="254" customFormat="false" ht="15" hidden="false" customHeight="false" outlineLevel="0" collapsed="false">
      <c r="A254" s="9" t="s">
        <v>33</v>
      </c>
      <c r="B254" s="9" t="s">
        <v>26</v>
      </c>
      <c r="C254" s="10" t="s">
        <v>1069</v>
      </c>
      <c r="D254" s="10" t="s">
        <v>1385</v>
      </c>
      <c r="E254" s="10" t="s">
        <v>1326</v>
      </c>
      <c r="F254" s="9" t="n">
        <v>4459.8</v>
      </c>
      <c r="G254" s="10" t="s">
        <v>1381</v>
      </c>
    </row>
    <row r="255" customFormat="false" ht="15" hidden="false" customHeight="false" outlineLevel="0" collapsed="false">
      <c r="A255" s="9" t="s">
        <v>33</v>
      </c>
      <c r="B255" s="9" t="s">
        <v>26</v>
      </c>
      <c r="C255" s="10" t="s">
        <v>1069</v>
      </c>
      <c r="D255" s="10" t="s">
        <v>1386</v>
      </c>
      <c r="E255" s="10" t="s">
        <v>1326</v>
      </c>
      <c r="F255" s="9" t="n">
        <v>4430.4</v>
      </c>
      <c r="G255" s="10" t="s">
        <v>1381</v>
      </c>
    </row>
    <row r="256" customFormat="false" ht="15" hidden="false" customHeight="false" outlineLevel="0" collapsed="false">
      <c r="A256" s="9" t="s">
        <v>33</v>
      </c>
      <c r="B256" s="9" t="s">
        <v>26</v>
      </c>
      <c r="C256" s="10" t="s">
        <v>1069</v>
      </c>
      <c r="D256" s="10" t="s">
        <v>1387</v>
      </c>
      <c r="E256" s="10" t="s">
        <v>1326</v>
      </c>
      <c r="F256" s="9" t="n">
        <v>4793.2</v>
      </c>
      <c r="G256" s="10" t="s">
        <v>1381</v>
      </c>
    </row>
    <row r="257" customFormat="false" ht="15" hidden="false" customHeight="false" outlineLevel="0" collapsed="false">
      <c r="A257" s="9" t="s">
        <v>33</v>
      </c>
      <c r="B257" s="9" t="s">
        <v>26</v>
      </c>
      <c r="C257" s="10" t="s">
        <v>1069</v>
      </c>
      <c r="D257" s="10" t="s">
        <v>1388</v>
      </c>
      <c r="E257" s="10" t="s">
        <v>1326</v>
      </c>
      <c r="F257" s="9" t="n">
        <v>4886.3</v>
      </c>
      <c r="G257" s="10" t="s">
        <v>1381</v>
      </c>
    </row>
    <row r="258" customFormat="false" ht="15" hidden="false" customHeight="false" outlineLevel="0" collapsed="false">
      <c r="A258" s="9" t="s">
        <v>33</v>
      </c>
      <c r="B258" s="9" t="s">
        <v>26</v>
      </c>
      <c r="C258" s="10" t="s">
        <v>1069</v>
      </c>
      <c r="D258" s="10" t="s">
        <v>1389</v>
      </c>
      <c r="E258" s="10" t="s">
        <v>1326</v>
      </c>
      <c r="F258" s="9" t="n">
        <v>3795</v>
      </c>
      <c r="G258" s="10" t="s">
        <v>1381</v>
      </c>
    </row>
    <row r="259" customFormat="false" ht="15" hidden="false" customHeight="false" outlineLevel="0" collapsed="false">
      <c r="A259" s="9" t="s">
        <v>33</v>
      </c>
      <c r="B259" s="9" t="s">
        <v>26</v>
      </c>
      <c r="C259" s="10" t="s">
        <v>1069</v>
      </c>
      <c r="D259" s="10" t="s">
        <v>1390</v>
      </c>
      <c r="E259" s="10" t="s">
        <v>1326</v>
      </c>
      <c r="F259" s="9" t="n">
        <v>4933.7</v>
      </c>
      <c r="G259" s="10" t="s">
        <v>1381</v>
      </c>
    </row>
    <row r="260" customFormat="false" ht="15" hidden="false" customHeight="false" outlineLevel="0" collapsed="false">
      <c r="A260" s="9" t="s">
        <v>33</v>
      </c>
      <c r="B260" s="9" t="s">
        <v>26</v>
      </c>
      <c r="C260" s="10" t="s">
        <v>1069</v>
      </c>
      <c r="D260" s="10" t="s">
        <v>1391</v>
      </c>
      <c r="E260" s="10" t="s">
        <v>1326</v>
      </c>
      <c r="F260" s="9" t="n">
        <v>3846.6</v>
      </c>
      <c r="G260" s="10" t="s">
        <v>1381</v>
      </c>
    </row>
    <row r="261" customFormat="false" ht="15" hidden="false" customHeight="false" outlineLevel="0" collapsed="false">
      <c r="A261" s="9" t="s">
        <v>33</v>
      </c>
      <c r="B261" s="9" t="s">
        <v>26</v>
      </c>
      <c r="C261" s="10" t="s">
        <v>1069</v>
      </c>
      <c r="D261" s="10" t="s">
        <v>1392</v>
      </c>
      <c r="E261" s="10" t="s">
        <v>1326</v>
      </c>
      <c r="F261" s="9" t="n">
        <v>3768.7</v>
      </c>
      <c r="G261" s="10" t="s">
        <v>1381</v>
      </c>
    </row>
    <row r="262" customFormat="false" ht="15" hidden="false" customHeight="false" outlineLevel="0" collapsed="false">
      <c r="A262" s="9" t="s">
        <v>33</v>
      </c>
      <c r="B262" s="9" t="s">
        <v>26</v>
      </c>
      <c r="C262" s="10" t="s">
        <v>1069</v>
      </c>
      <c r="D262" s="10" t="s">
        <v>1393</v>
      </c>
      <c r="E262" s="10" t="s">
        <v>1326</v>
      </c>
      <c r="F262" s="9" t="n">
        <v>4222.4</v>
      </c>
      <c r="G262" s="10" t="s">
        <v>1381</v>
      </c>
    </row>
    <row r="263" customFormat="false" ht="15" hidden="false" customHeight="false" outlineLevel="0" collapsed="false">
      <c r="A263" s="9" t="s">
        <v>33</v>
      </c>
      <c r="B263" s="9" t="s">
        <v>26</v>
      </c>
      <c r="C263" s="10" t="s">
        <v>1069</v>
      </c>
      <c r="D263" s="10" t="s">
        <v>1394</v>
      </c>
      <c r="E263" s="10" t="s">
        <v>1326</v>
      </c>
      <c r="F263" s="9" t="n">
        <v>4197.7</v>
      </c>
      <c r="G263" s="10" t="s">
        <v>1395</v>
      </c>
    </row>
    <row r="264" customFormat="false" ht="15" hidden="false" customHeight="false" outlineLevel="0" collapsed="false">
      <c r="A264" s="9" t="s">
        <v>33</v>
      </c>
      <c r="B264" s="9" t="s">
        <v>26</v>
      </c>
      <c r="C264" s="10" t="s">
        <v>1396</v>
      </c>
      <c r="D264" s="10" t="s">
        <v>1397</v>
      </c>
      <c r="E264" s="10" t="s">
        <v>1326</v>
      </c>
      <c r="F264" s="9" t="n">
        <v>1740.4</v>
      </c>
      <c r="G264" s="10" t="s">
        <v>1398</v>
      </c>
    </row>
    <row r="265" customFormat="false" ht="15" hidden="false" customHeight="false" outlineLevel="0" collapsed="false">
      <c r="A265" s="9" t="s">
        <v>33</v>
      </c>
      <c r="B265" s="9" t="s">
        <v>26</v>
      </c>
      <c r="C265" s="10" t="s">
        <v>1396</v>
      </c>
      <c r="D265" s="10" t="s">
        <v>1399</v>
      </c>
      <c r="E265" s="10" t="s">
        <v>1326</v>
      </c>
      <c r="F265" s="9" t="n">
        <v>1766.3</v>
      </c>
      <c r="G265" s="10" t="s">
        <v>1398</v>
      </c>
    </row>
    <row r="266" customFormat="false" ht="15" hidden="false" customHeight="false" outlineLevel="0" collapsed="false">
      <c r="A266" s="9" t="s">
        <v>33</v>
      </c>
      <c r="B266" s="9" t="s">
        <v>26</v>
      </c>
      <c r="C266" s="10" t="s">
        <v>1396</v>
      </c>
      <c r="D266" s="10" t="s">
        <v>1400</v>
      </c>
      <c r="E266" s="10" t="s">
        <v>1326</v>
      </c>
      <c r="F266" s="9" t="n">
        <v>1709</v>
      </c>
      <c r="G266" s="10" t="s">
        <v>1398</v>
      </c>
    </row>
    <row r="267" customFormat="false" ht="15" hidden="false" customHeight="false" outlineLevel="0" collapsed="false">
      <c r="A267" s="9" t="s">
        <v>33</v>
      </c>
      <c r="B267" s="9" t="s">
        <v>26</v>
      </c>
      <c r="C267" s="10" t="s">
        <v>1396</v>
      </c>
      <c r="D267" s="10" t="s">
        <v>1401</v>
      </c>
      <c r="E267" s="10" t="s">
        <v>1326</v>
      </c>
      <c r="F267" s="9" t="n">
        <v>1700.7</v>
      </c>
      <c r="G267" s="10" t="s">
        <v>1398</v>
      </c>
    </row>
    <row r="268" customFormat="false" ht="15" hidden="false" customHeight="false" outlineLevel="0" collapsed="false">
      <c r="A268" s="9" t="s">
        <v>33</v>
      </c>
      <c r="B268" s="9" t="s">
        <v>26</v>
      </c>
      <c r="C268" s="10" t="s">
        <v>1396</v>
      </c>
      <c r="D268" s="10" t="s">
        <v>1402</v>
      </c>
      <c r="E268" s="10" t="s">
        <v>1326</v>
      </c>
      <c r="F268" s="9" t="n">
        <v>1727.7</v>
      </c>
      <c r="G268" s="10" t="s">
        <v>1403</v>
      </c>
    </row>
    <row r="269" customFormat="false" ht="15" hidden="false" customHeight="false" outlineLevel="0" collapsed="false">
      <c r="A269" s="9" t="s">
        <v>33</v>
      </c>
      <c r="B269" s="9" t="s">
        <v>26</v>
      </c>
      <c r="C269" s="10" t="s">
        <v>1396</v>
      </c>
      <c r="D269" s="10" t="s">
        <v>1404</v>
      </c>
      <c r="E269" s="10" t="s">
        <v>1326</v>
      </c>
      <c r="F269" s="9" t="n">
        <v>1678.8</v>
      </c>
      <c r="G269" s="10" t="s">
        <v>623</v>
      </c>
    </row>
    <row r="270" customFormat="false" ht="15" hidden="false" customHeight="false" outlineLevel="0" collapsed="false">
      <c r="A270" s="9" t="s">
        <v>33</v>
      </c>
      <c r="B270" s="9" t="s">
        <v>26</v>
      </c>
      <c r="C270" s="10" t="s">
        <v>1396</v>
      </c>
      <c r="D270" s="10" t="s">
        <v>1405</v>
      </c>
      <c r="E270" s="10" t="s">
        <v>1326</v>
      </c>
      <c r="F270" s="9" t="n">
        <v>1738.8</v>
      </c>
      <c r="G270" s="10" t="s">
        <v>623</v>
      </c>
    </row>
    <row r="271" customFormat="false" ht="15" hidden="false" customHeight="false" outlineLevel="0" collapsed="false">
      <c r="A271" s="9" t="s">
        <v>33</v>
      </c>
      <c r="B271" s="9" t="s">
        <v>26</v>
      </c>
      <c r="C271" s="10" t="s">
        <v>1396</v>
      </c>
      <c r="D271" s="10" t="s">
        <v>1406</v>
      </c>
      <c r="E271" s="10" t="s">
        <v>1326</v>
      </c>
      <c r="F271" s="9" t="n">
        <v>1718.8</v>
      </c>
      <c r="G271" s="10" t="s">
        <v>623</v>
      </c>
    </row>
    <row r="272" customFormat="false" ht="15" hidden="false" customHeight="false" outlineLevel="0" collapsed="false">
      <c r="A272" s="9" t="s">
        <v>33</v>
      </c>
      <c r="B272" s="9" t="s">
        <v>26</v>
      </c>
      <c r="C272" s="10" t="s">
        <v>1396</v>
      </c>
      <c r="D272" s="10" t="s">
        <v>1407</v>
      </c>
      <c r="E272" s="10" t="s">
        <v>1326</v>
      </c>
      <c r="F272" s="9" t="n">
        <v>1679.8</v>
      </c>
      <c r="G272" s="10" t="s">
        <v>623</v>
      </c>
    </row>
    <row r="273" customFormat="false" ht="15" hidden="false" customHeight="false" outlineLevel="0" collapsed="false">
      <c r="A273" s="9" t="s">
        <v>33</v>
      </c>
      <c r="B273" s="9" t="s">
        <v>26</v>
      </c>
      <c r="C273" s="10" t="s">
        <v>1396</v>
      </c>
      <c r="D273" s="10" t="s">
        <v>1408</v>
      </c>
      <c r="E273" s="10" t="s">
        <v>1326</v>
      </c>
      <c r="F273" s="9" t="n">
        <v>1674.6</v>
      </c>
      <c r="G273" s="10" t="s">
        <v>623</v>
      </c>
    </row>
    <row r="274" customFormat="false" ht="15" hidden="false" customHeight="false" outlineLevel="0" collapsed="false">
      <c r="A274" s="9" t="s">
        <v>33</v>
      </c>
      <c r="B274" s="9" t="s">
        <v>26</v>
      </c>
      <c r="C274" s="10" t="s">
        <v>1396</v>
      </c>
      <c r="D274" s="10" t="s">
        <v>1409</v>
      </c>
      <c r="E274" s="10" t="s">
        <v>1326</v>
      </c>
      <c r="F274" s="9" t="n">
        <v>1700.2</v>
      </c>
      <c r="G274" s="10" t="s">
        <v>623</v>
      </c>
    </row>
    <row r="275" customFormat="false" ht="15" hidden="false" customHeight="false" outlineLevel="0" collapsed="false">
      <c r="A275" s="9" t="s">
        <v>33</v>
      </c>
      <c r="B275" s="9" t="s">
        <v>26</v>
      </c>
      <c r="C275" s="10" t="s">
        <v>1396</v>
      </c>
      <c r="D275" s="10" t="s">
        <v>1410</v>
      </c>
      <c r="E275" s="10" t="s">
        <v>1326</v>
      </c>
      <c r="F275" s="9" t="n">
        <v>1732.5</v>
      </c>
      <c r="G275" s="10" t="s">
        <v>623</v>
      </c>
    </row>
    <row r="276" customFormat="false" ht="15" hidden="false" customHeight="false" outlineLevel="0" collapsed="false">
      <c r="A276" s="9" t="s">
        <v>33</v>
      </c>
      <c r="B276" s="9" t="s">
        <v>26</v>
      </c>
      <c r="C276" s="10" t="s">
        <v>1396</v>
      </c>
      <c r="D276" s="10" t="s">
        <v>1411</v>
      </c>
      <c r="E276" s="10" t="s">
        <v>1326</v>
      </c>
      <c r="F276" s="9" t="n">
        <v>1557.5</v>
      </c>
      <c r="G276" s="10" t="s">
        <v>623</v>
      </c>
    </row>
    <row r="277" customFormat="false" ht="15" hidden="false" customHeight="false" outlineLevel="0" collapsed="false">
      <c r="A277" s="9" t="s">
        <v>33</v>
      </c>
      <c r="B277" s="9" t="s">
        <v>26</v>
      </c>
      <c r="C277" s="10" t="s">
        <v>1396</v>
      </c>
      <c r="D277" s="10" t="s">
        <v>1412</v>
      </c>
      <c r="E277" s="10" t="s">
        <v>1326</v>
      </c>
      <c r="F277" s="9" t="n">
        <v>1698.2</v>
      </c>
      <c r="G277" s="10" t="s">
        <v>623</v>
      </c>
    </row>
    <row r="278" customFormat="false" ht="15" hidden="false" customHeight="false" outlineLevel="0" collapsed="false">
      <c r="A278" s="9" t="s">
        <v>33</v>
      </c>
      <c r="B278" s="9" t="s">
        <v>26</v>
      </c>
      <c r="C278" s="10" t="s">
        <v>1396</v>
      </c>
      <c r="D278" s="10" t="s">
        <v>1413</v>
      </c>
      <c r="E278" s="10" t="s">
        <v>1326</v>
      </c>
      <c r="F278" s="9" t="n">
        <v>1753.8</v>
      </c>
      <c r="G278" s="10" t="s">
        <v>1414</v>
      </c>
    </row>
    <row r="279" customFormat="false" ht="15" hidden="false" customHeight="false" outlineLevel="0" collapsed="false">
      <c r="A279" s="9" t="s">
        <v>33</v>
      </c>
      <c r="B279" s="9" t="s">
        <v>26</v>
      </c>
      <c r="C279" s="10" t="s">
        <v>1396</v>
      </c>
      <c r="D279" s="10" t="s">
        <v>1415</v>
      </c>
      <c r="E279" s="10" t="s">
        <v>1326</v>
      </c>
      <c r="F279" s="9" t="n">
        <v>1739.6</v>
      </c>
      <c r="G279" s="10" t="s">
        <v>1414</v>
      </c>
    </row>
    <row r="280" customFormat="false" ht="15" hidden="false" customHeight="false" outlineLevel="0" collapsed="false">
      <c r="A280" s="9" t="s">
        <v>33</v>
      </c>
      <c r="B280" s="9" t="s">
        <v>26</v>
      </c>
      <c r="C280" s="10" t="s">
        <v>1396</v>
      </c>
      <c r="D280" s="10" t="s">
        <v>1416</v>
      </c>
      <c r="E280" s="10" t="s">
        <v>1326</v>
      </c>
      <c r="F280" s="9" t="n">
        <v>1538.7</v>
      </c>
      <c r="G280" s="10" t="s">
        <v>1414</v>
      </c>
    </row>
    <row r="281" customFormat="false" ht="15" hidden="false" customHeight="false" outlineLevel="0" collapsed="false">
      <c r="A281" s="9" t="s">
        <v>33</v>
      </c>
      <c r="B281" s="9" t="s">
        <v>26</v>
      </c>
      <c r="C281" s="10" t="s">
        <v>1396</v>
      </c>
      <c r="D281" s="10" t="s">
        <v>1417</v>
      </c>
      <c r="E281" s="10" t="s">
        <v>1326</v>
      </c>
      <c r="F281" s="9" t="n">
        <v>1716.2</v>
      </c>
      <c r="G281" s="10" t="s">
        <v>1414</v>
      </c>
    </row>
    <row r="282" customFormat="false" ht="15" hidden="false" customHeight="false" outlineLevel="0" collapsed="false">
      <c r="A282" s="9" t="s">
        <v>33</v>
      </c>
      <c r="B282" s="9" t="s">
        <v>26</v>
      </c>
      <c r="C282" s="10" t="s">
        <v>1396</v>
      </c>
      <c r="D282" s="10" t="s">
        <v>1418</v>
      </c>
      <c r="E282" s="10" t="s">
        <v>1326</v>
      </c>
      <c r="F282" s="9" t="n">
        <v>1670.7</v>
      </c>
      <c r="G282" s="10" t="s">
        <v>1414</v>
      </c>
    </row>
    <row r="283" customFormat="false" ht="15" hidden="false" customHeight="false" outlineLevel="0" collapsed="false">
      <c r="A283" s="9" t="s">
        <v>33</v>
      </c>
      <c r="B283" s="9" t="s">
        <v>26</v>
      </c>
      <c r="C283" s="10" t="s">
        <v>1396</v>
      </c>
      <c r="D283" s="10" t="s">
        <v>1419</v>
      </c>
      <c r="E283" s="10" t="s">
        <v>1326</v>
      </c>
      <c r="F283" s="9" t="n">
        <v>1678.9</v>
      </c>
      <c r="G283" s="10" t="s">
        <v>1414</v>
      </c>
    </row>
    <row r="284" customFormat="false" ht="15" hidden="false" customHeight="false" outlineLevel="0" collapsed="false">
      <c r="A284" s="9" t="s">
        <v>33</v>
      </c>
      <c r="B284" s="9" t="s">
        <v>26</v>
      </c>
      <c r="C284" s="10" t="s">
        <v>1396</v>
      </c>
      <c r="D284" s="10" t="s">
        <v>1420</v>
      </c>
      <c r="E284" s="10" t="s">
        <v>1326</v>
      </c>
      <c r="F284" s="9" t="n">
        <v>1738.4</v>
      </c>
      <c r="G284" s="10" t="s">
        <v>1421</v>
      </c>
    </row>
    <row r="285" customFormat="false" ht="15" hidden="false" customHeight="false" outlineLevel="0" collapsed="false">
      <c r="A285" s="9" t="s">
        <v>33</v>
      </c>
      <c r="B285" s="9" t="s">
        <v>26</v>
      </c>
      <c r="C285" s="10" t="s">
        <v>1396</v>
      </c>
      <c r="D285" s="10" t="s">
        <v>1422</v>
      </c>
      <c r="E285" s="10" t="s">
        <v>1326</v>
      </c>
      <c r="F285" s="9" t="n">
        <v>1740.1</v>
      </c>
      <c r="G285" s="10" t="s">
        <v>1421</v>
      </c>
    </row>
    <row r="286" customFormat="false" ht="15" hidden="false" customHeight="false" outlineLevel="0" collapsed="false">
      <c r="A286" s="9" t="s">
        <v>33</v>
      </c>
      <c r="B286" s="9" t="s">
        <v>26</v>
      </c>
      <c r="C286" s="10" t="s">
        <v>1396</v>
      </c>
      <c r="D286" s="10" t="s">
        <v>1423</v>
      </c>
      <c r="E286" s="10" t="s">
        <v>1326</v>
      </c>
      <c r="F286" s="9" t="n">
        <v>1769.4</v>
      </c>
      <c r="G286" s="10" t="s">
        <v>1421</v>
      </c>
    </row>
    <row r="287" customFormat="false" ht="15" hidden="false" customHeight="false" outlineLevel="0" collapsed="false">
      <c r="A287" s="9" t="s">
        <v>33</v>
      </c>
      <c r="B287" s="9" t="s">
        <v>26</v>
      </c>
      <c r="C287" s="10" t="s">
        <v>1396</v>
      </c>
      <c r="D287" s="10" t="s">
        <v>1424</v>
      </c>
      <c r="E287" s="10" t="s">
        <v>1326</v>
      </c>
      <c r="F287" s="9" t="n">
        <v>1727.8</v>
      </c>
      <c r="G287" s="10" t="s">
        <v>1421</v>
      </c>
    </row>
    <row r="288" customFormat="false" ht="15" hidden="false" customHeight="false" outlineLevel="0" collapsed="false">
      <c r="A288" s="9" t="s">
        <v>33</v>
      </c>
      <c r="B288" s="9" t="s">
        <v>26</v>
      </c>
      <c r="C288" s="10" t="s">
        <v>1396</v>
      </c>
      <c r="D288" s="10" t="s">
        <v>1425</v>
      </c>
      <c r="E288" s="10" t="s">
        <v>1326</v>
      </c>
      <c r="F288" s="9" t="n">
        <v>1777.2</v>
      </c>
      <c r="G288" s="10" t="s">
        <v>1421</v>
      </c>
    </row>
    <row r="289" customFormat="false" ht="15" hidden="false" customHeight="false" outlineLevel="0" collapsed="false">
      <c r="A289" s="9" t="s">
        <v>33</v>
      </c>
      <c r="B289" s="9" t="s">
        <v>26</v>
      </c>
      <c r="C289" s="10" t="s">
        <v>1396</v>
      </c>
      <c r="D289" s="10" t="s">
        <v>1426</v>
      </c>
      <c r="E289" s="10" t="s">
        <v>1326</v>
      </c>
      <c r="F289" s="9" t="n">
        <v>1745.7</v>
      </c>
      <c r="G289" s="10" t="s">
        <v>1421</v>
      </c>
    </row>
    <row r="290" customFormat="false" ht="15" hidden="false" customHeight="false" outlineLevel="0" collapsed="false">
      <c r="A290" s="9" t="s">
        <v>33</v>
      </c>
      <c r="B290" s="9" t="s">
        <v>26</v>
      </c>
      <c r="C290" s="10" t="s">
        <v>1396</v>
      </c>
      <c r="D290" s="10" t="s">
        <v>1427</v>
      </c>
      <c r="E290" s="10" t="s">
        <v>1326</v>
      </c>
      <c r="F290" s="9" t="n">
        <v>1736</v>
      </c>
      <c r="G290" s="10" t="s">
        <v>1421</v>
      </c>
    </row>
    <row r="291" customFormat="false" ht="15" hidden="false" customHeight="false" outlineLevel="0" collapsed="false">
      <c r="A291" s="9" t="s">
        <v>33</v>
      </c>
      <c r="B291" s="9" t="s">
        <v>26</v>
      </c>
      <c r="C291" s="10" t="s">
        <v>1396</v>
      </c>
      <c r="D291" s="10" t="s">
        <v>1428</v>
      </c>
      <c r="E291" s="10" t="s">
        <v>1326</v>
      </c>
      <c r="F291" s="9" t="n">
        <v>1742</v>
      </c>
      <c r="G291" s="10" t="s">
        <v>621</v>
      </c>
    </row>
    <row r="292" customFormat="false" ht="15" hidden="false" customHeight="false" outlineLevel="0" collapsed="false">
      <c r="A292" s="9" t="s">
        <v>33</v>
      </c>
      <c r="B292" s="9" t="s">
        <v>26</v>
      </c>
      <c r="C292" s="10" t="s">
        <v>1396</v>
      </c>
      <c r="D292" s="10" t="s">
        <v>1429</v>
      </c>
      <c r="E292" s="10" t="s">
        <v>1326</v>
      </c>
      <c r="F292" s="9" t="n">
        <v>1716.5</v>
      </c>
      <c r="G292" s="10" t="s">
        <v>621</v>
      </c>
    </row>
    <row r="293" customFormat="false" ht="15" hidden="false" customHeight="false" outlineLevel="0" collapsed="false">
      <c r="A293" s="9" t="s">
        <v>33</v>
      </c>
      <c r="B293" s="9" t="s">
        <v>26</v>
      </c>
      <c r="C293" s="10" t="s">
        <v>1396</v>
      </c>
      <c r="D293" s="10" t="s">
        <v>1430</v>
      </c>
      <c r="E293" s="10" t="s">
        <v>1326</v>
      </c>
      <c r="F293" s="9" t="n">
        <v>1554.5</v>
      </c>
      <c r="G293" s="10" t="s">
        <v>621</v>
      </c>
    </row>
    <row r="294" customFormat="false" ht="15" hidden="false" customHeight="false" outlineLevel="0" collapsed="false">
      <c r="A294" s="9" t="s">
        <v>33</v>
      </c>
      <c r="B294" s="9" t="s">
        <v>26</v>
      </c>
      <c r="C294" s="10" t="s">
        <v>1396</v>
      </c>
      <c r="D294" s="10" t="s">
        <v>1431</v>
      </c>
      <c r="E294" s="10" t="s">
        <v>1326</v>
      </c>
      <c r="F294" s="9" t="n">
        <v>1750.1</v>
      </c>
      <c r="G294" s="10" t="s">
        <v>621</v>
      </c>
    </row>
    <row r="295" customFormat="false" ht="15" hidden="false" customHeight="false" outlineLevel="0" collapsed="false">
      <c r="A295" s="9" t="s">
        <v>33</v>
      </c>
      <c r="B295" s="9" t="s">
        <v>26</v>
      </c>
      <c r="C295" s="10" t="s">
        <v>1396</v>
      </c>
      <c r="D295" s="10" t="s">
        <v>1432</v>
      </c>
      <c r="E295" s="10" t="s">
        <v>1326</v>
      </c>
      <c r="F295" s="9" t="n">
        <v>1735.1</v>
      </c>
      <c r="G295" s="10" t="s">
        <v>621</v>
      </c>
    </row>
    <row r="296" customFormat="false" ht="15" hidden="false" customHeight="false" outlineLevel="0" collapsed="false">
      <c r="A296" s="9" t="s">
        <v>33</v>
      </c>
      <c r="B296" s="9" t="s">
        <v>26</v>
      </c>
      <c r="C296" s="10" t="s">
        <v>1396</v>
      </c>
      <c r="D296" s="10" t="s">
        <v>1433</v>
      </c>
      <c r="E296" s="10" t="s">
        <v>1326</v>
      </c>
      <c r="F296" s="9" t="n">
        <v>1730.4</v>
      </c>
      <c r="G296" s="10" t="s">
        <v>621</v>
      </c>
    </row>
    <row r="297" customFormat="false" ht="15" hidden="false" customHeight="false" outlineLevel="0" collapsed="false">
      <c r="A297" s="9" t="s">
        <v>33</v>
      </c>
      <c r="B297" s="9" t="s">
        <v>26</v>
      </c>
      <c r="C297" s="10" t="s">
        <v>1396</v>
      </c>
      <c r="D297" s="10" t="s">
        <v>1434</v>
      </c>
      <c r="E297" s="10" t="s">
        <v>1326</v>
      </c>
      <c r="F297" s="9" t="n">
        <v>1684.4</v>
      </c>
      <c r="G297" s="10" t="s">
        <v>621</v>
      </c>
    </row>
    <row r="298" customFormat="false" ht="15" hidden="false" customHeight="false" outlineLevel="0" collapsed="false">
      <c r="A298" s="9" t="s">
        <v>33</v>
      </c>
      <c r="B298" s="9" t="s">
        <v>26</v>
      </c>
      <c r="C298" s="10" t="s">
        <v>1396</v>
      </c>
      <c r="D298" s="10" t="s">
        <v>1435</v>
      </c>
      <c r="E298" s="10" t="s">
        <v>1326</v>
      </c>
      <c r="F298" s="9" t="n">
        <v>1721.7</v>
      </c>
      <c r="G298" s="10" t="s">
        <v>621</v>
      </c>
    </row>
    <row r="299" customFormat="false" ht="15" hidden="false" customHeight="false" outlineLevel="0" collapsed="false">
      <c r="A299" s="9" t="s">
        <v>33</v>
      </c>
      <c r="B299" s="9" t="s">
        <v>26</v>
      </c>
      <c r="C299" s="10" t="s">
        <v>1396</v>
      </c>
      <c r="D299" s="10" t="s">
        <v>1436</v>
      </c>
      <c r="E299" s="10" t="s">
        <v>1326</v>
      </c>
      <c r="F299" s="9" t="n">
        <v>1729.4</v>
      </c>
      <c r="G299" s="10" t="s">
        <v>621</v>
      </c>
    </row>
    <row r="300" customFormat="false" ht="15" hidden="false" customHeight="false" outlineLevel="0" collapsed="false">
      <c r="A300" s="9" t="s">
        <v>33</v>
      </c>
      <c r="B300" s="9" t="s">
        <v>26</v>
      </c>
      <c r="C300" s="10" t="s">
        <v>1396</v>
      </c>
      <c r="D300" s="10" t="s">
        <v>1437</v>
      </c>
      <c r="E300" s="10" t="s">
        <v>1326</v>
      </c>
      <c r="F300" s="9" t="n">
        <v>1677.6</v>
      </c>
      <c r="G300" s="10" t="s">
        <v>1438</v>
      </c>
    </row>
    <row r="301" customFormat="false" ht="15" hidden="false" customHeight="false" outlineLevel="0" collapsed="false">
      <c r="A301" s="9" t="s">
        <v>33</v>
      </c>
      <c r="B301" s="9" t="s">
        <v>26</v>
      </c>
      <c r="C301" s="10" t="s">
        <v>1396</v>
      </c>
      <c r="D301" s="10" t="s">
        <v>1439</v>
      </c>
      <c r="E301" s="10" t="s">
        <v>1326</v>
      </c>
      <c r="F301" s="9" t="n">
        <v>1732.7</v>
      </c>
      <c r="G301" s="10" t="s">
        <v>1438</v>
      </c>
    </row>
    <row r="302" customFormat="false" ht="15" hidden="false" customHeight="false" outlineLevel="0" collapsed="false">
      <c r="A302" s="9" t="s">
        <v>33</v>
      </c>
      <c r="B302" s="9" t="s">
        <v>26</v>
      </c>
      <c r="C302" s="10" t="s">
        <v>1396</v>
      </c>
      <c r="D302" s="10" t="s">
        <v>1440</v>
      </c>
      <c r="E302" s="10" t="s">
        <v>1326</v>
      </c>
      <c r="F302" s="9" t="n">
        <v>1724</v>
      </c>
      <c r="G302" s="10" t="s">
        <v>1438</v>
      </c>
    </row>
    <row r="303" customFormat="false" ht="15" hidden="false" customHeight="false" outlineLevel="0" collapsed="false">
      <c r="A303" s="9" t="s">
        <v>33</v>
      </c>
      <c r="B303" s="9" t="s">
        <v>26</v>
      </c>
      <c r="C303" s="10" t="s">
        <v>1396</v>
      </c>
      <c r="D303" s="10" t="s">
        <v>1441</v>
      </c>
      <c r="E303" s="10" t="s">
        <v>1326</v>
      </c>
      <c r="F303" s="9" t="n">
        <v>4841.1</v>
      </c>
      <c r="G303" s="10" t="s">
        <v>1442</v>
      </c>
    </row>
    <row r="304" customFormat="false" ht="15" hidden="false" customHeight="false" outlineLevel="0" collapsed="false">
      <c r="A304" s="9" t="s">
        <v>33</v>
      </c>
      <c r="B304" s="9" t="s">
        <v>26</v>
      </c>
      <c r="C304" s="10" t="s">
        <v>1396</v>
      </c>
      <c r="D304" s="10" t="s">
        <v>1443</v>
      </c>
      <c r="E304" s="10" t="s">
        <v>1326</v>
      </c>
      <c r="F304" s="9" t="n">
        <v>5347.1</v>
      </c>
      <c r="G304" s="10" t="s">
        <v>1442</v>
      </c>
    </row>
    <row r="305" customFormat="false" ht="15" hidden="false" customHeight="false" outlineLevel="0" collapsed="false">
      <c r="A305" s="9" t="s">
        <v>33</v>
      </c>
      <c r="B305" s="9" t="s">
        <v>26</v>
      </c>
      <c r="C305" s="10" t="s">
        <v>1396</v>
      </c>
      <c r="D305" s="10" t="s">
        <v>1444</v>
      </c>
      <c r="E305" s="10" t="s">
        <v>1326</v>
      </c>
      <c r="F305" s="9" t="n">
        <v>5305.7</v>
      </c>
      <c r="G305" s="10" t="s">
        <v>1442</v>
      </c>
    </row>
    <row r="306" customFormat="false" ht="15" hidden="false" customHeight="false" outlineLevel="0" collapsed="false">
      <c r="A306" s="9" t="s">
        <v>33</v>
      </c>
      <c r="B306" s="9" t="s">
        <v>26</v>
      </c>
      <c r="C306" s="10" t="s">
        <v>1396</v>
      </c>
      <c r="D306" s="10" t="s">
        <v>1445</v>
      </c>
      <c r="E306" s="10" t="s">
        <v>1326</v>
      </c>
      <c r="F306" s="9" t="n">
        <v>5480.4</v>
      </c>
      <c r="G306" s="10" t="s">
        <v>1442</v>
      </c>
    </row>
    <row r="307" customFormat="false" ht="15" hidden="false" customHeight="false" outlineLevel="0" collapsed="false">
      <c r="A307" s="9" t="s">
        <v>33</v>
      </c>
      <c r="B307" s="9" t="s">
        <v>26</v>
      </c>
      <c r="C307" s="10" t="s">
        <v>1396</v>
      </c>
      <c r="D307" s="10" t="s">
        <v>1446</v>
      </c>
      <c r="E307" s="10" t="s">
        <v>1326</v>
      </c>
      <c r="F307" s="9" t="n">
        <v>5143</v>
      </c>
      <c r="G307" s="10" t="s">
        <v>1442</v>
      </c>
    </row>
    <row r="308" customFormat="false" ht="15" hidden="false" customHeight="false" outlineLevel="0" collapsed="false">
      <c r="A308" s="9" t="s">
        <v>33</v>
      </c>
      <c r="B308" s="9" t="s">
        <v>26</v>
      </c>
      <c r="C308" s="10" t="s">
        <v>1396</v>
      </c>
      <c r="D308" s="10" t="s">
        <v>1447</v>
      </c>
      <c r="E308" s="10" t="s">
        <v>1326</v>
      </c>
      <c r="F308" s="9" t="n">
        <v>4832.6</v>
      </c>
      <c r="G308" s="10" t="s">
        <v>1442</v>
      </c>
    </row>
    <row r="309" customFormat="false" ht="15" hidden="false" customHeight="false" outlineLevel="0" collapsed="false">
      <c r="A309" s="9" t="s">
        <v>33</v>
      </c>
      <c r="B309" s="9" t="s">
        <v>26</v>
      </c>
      <c r="C309" s="10" t="s">
        <v>1396</v>
      </c>
      <c r="D309" s="10" t="s">
        <v>1448</v>
      </c>
      <c r="E309" s="10" t="s">
        <v>1326</v>
      </c>
      <c r="F309" s="9" t="n">
        <v>4311.5</v>
      </c>
      <c r="G309" s="10" t="s">
        <v>1449</v>
      </c>
    </row>
    <row r="310" customFormat="false" ht="15" hidden="false" customHeight="false" outlineLevel="0" collapsed="false">
      <c r="A310" s="9" t="s">
        <v>33</v>
      </c>
      <c r="B310" s="9" t="s">
        <v>26</v>
      </c>
      <c r="C310" s="10" t="s">
        <v>1396</v>
      </c>
      <c r="D310" s="10" t="s">
        <v>1450</v>
      </c>
      <c r="E310" s="10" t="s">
        <v>1326</v>
      </c>
      <c r="F310" s="9" t="n">
        <v>5043.6</v>
      </c>
      <c r="G310" s="10" t="s">
        <v>1442</v>
      </c>
    </row>
    <row r="311" customFormat="false" ht="15" hidden="false" customHeight="false" outlineLevel="0" collapsed="false">
      <c r="A311" s="9" t="s">
        <v>33</v>
      </c>
      <c r="B311" s="9" t="s">
        <v>26</v>
      </c>
      <c r="C311" s="10" t="s">
        <v>1396</v>
      </c>
      <c r="D311" s="10" t="s">
        <v>1451</v>
      </c>
      <c r="E311" s="10" t="s">
        <v>1326</v>
      </c>
      <c r="F311" s="9" t="n">
        <v>5018.7</v>
      </c>
      <c r="G311" s="10" t="s">
        <v>1442</v>
      </c>
    </row>
    <row r="312" customFormat="false" ht="15" hidden="false" customHeight="false" outlineLevel="0" collapsed="false">
      <c r="A312" s="9" t="s">
        <v>33</v>
      </c>
      <c r="B312" s="9" t="s">
        <v>26</v>
      </c>
      <c r="C312" s="10" t="s">
        <v>1396</v>
      </c>
      <c r="D312" s="10" t="s">
        <v>1452</v>
      </c>
      <c r="E312" s="10" t="s">
        <v>1326</v>
      </c>
      <c r="F312" s="9" t="n">
        <v>4331.5</v>
      </c>
      <c r="G312" s="10" t="s">
        <v>1449</v>
      </c>
    </row>
    <row r="313" customFormat="false" ht="15" hidden="false" customHeight="false" outlineLevel="0" collapsed="false">
      <c r="A313" s="9" t="s">
        <v>33</v>
      </c>
      <c r="B313" s="9" t="s">
        <v>26</v>
      </c>
      <c r="C313" s="10" t="s">
        <v>1396</v>
      </c>
      <c r="D313" s="10" t="s">
        <v>1453</v>
      </c>
      <c r="E313" s="10" t="s">
        <v>1326</v>
      </c>
      <c r="F313" s="9" t="n">
        <v>5048.9</v>
      </c>
      <c r="G313" s="10" t="s">
        <v>1442</v>
      </c>
    </row>
    <row r="314" customFormat="false" ht="15" hidden="false" customHeight="false" outlineLevel="0" collapsed="false">
      <c r="A314" s="9" t="s">
        <v>33</v>
      </c>
      <c r="B314" s="9" t="s">
        <v>26</v>
      </c>
      <c r="C314" s="10" t="s">
        <v>1396</v>
      </c>
      <c r="D314" s="10" t="s">
        <v>1454</v>
      </c>
      <c r="E314" s="10" t="s">
        <v>1326</v>
      </c>
      <c r="F314" s="9" t="n">
        <v>4759.5</v>
      </c>
      <c r="G314" s="10" t="s">
        <v>1442</v>
      </c>
    </row>
    <row r="315" customFormat="false" ht="15" hidden="false" customHeight="false" outlineLevel="0" collapsed="false">
      <c r="A315" s="9" t="s">
        <v>33</v>
      </c>
      <c r="B315" s="9" t="s">
        <v>26</v>
      </c>
      <c r="C315" s="10" t="s">
        <v>1396</v>
      </c>
      <c r="D315" s="10" t="s">
        <v>1455</v>
      </c>
      <c r="E315" s="10" t="s">
        <v>1326</v>
      </c>
      <c r="F315" s="9" t="n">
        <v>4520.3</v>
      </c>
      <c r="G315" s="10" t="s">
        <v>1449</v>
      </c>
    </row>
    <row r="316" customFormat="false" ht="15" hidden="false" customHeight="false" outlineLevel="0" collapsed="false">
      <c r="A316" s="9" t="s">
        <v>33</v>
      </c>
      <c r="B316" s="9" t="s">
        <v>26</v>
      </c>
      <c r="C316" s="10" t="s">
        <v>1396</v>
      </c>
      <c r="D316" s="10" t="s">
        <v>1456</v>
      </c>
      <c r="E316" s="10" t="s">
        <v>1326</v>
      </c>
      <c r="F316" s="9" t="n">
        <v>5517.6</v>
      </c>
      <c r="G316" s="10" t="s">
        <v>1442</v>
      </c>
    </row>
    <row r="317" customFormat="false" ht="15" hidden="false" customHeight="false" outlineLevel="0" collapsed="false">
      <c r="A317" s="9" t="s">
        <v>33</v>
      </c>
      <c r="B317" s="9" t="s">
        <v>26</v>
      </c>
      <c r="C317" s="10" t="s">
        <v>1396</v>
      </c>
      <c r="D317" s="10" t="s">
        <v>1457</v>
      </c>
      <c r="E317" s="10" t="s">
        <v>1326</v>
      </c>
      <c r="F317" s="9" t="n">
        <v>5421</v>
      </c>
      <c r="G317" s="10" t="s">
        <v>1458</v>
      </c>
    </row>
    <row r="318" customFormat="false" ht="15" hidden="false" customHeight="false" outlineLevel="0" collapsed="false">
      <c r="A318" s="9" t="s">
        <v>33</v>
      </c>
      <c r="B318" s="9" t="s">
        <v>26</v>
      </c>
      <c r="C318" s="10" t="s">
        <v>1396</v>
      </c>
      <c r="D318" s="10" t="s">
        <v>1459</v>
      </c>
      <c r="E318" s="10" t="s">
        <v>1326</v>
      </c>
      <c r="F318" s="9" t="n">
        <v>4421.2</v>
      </c>
      <c r="G318" s="10" t="s">
        <v>1458</v>
      </c>
    </row>
    <row r="319" customFormat="false" ht="15" hidden="false" customHeight="false" outlineLevel="0" collapsed="false">
      <c r="A319" s="9" t="s">
        <v>33</v>
      </c>
      <c r="B319" s="9" t="s">
        <v>26</v>
      </c>
      <c r="C319" s="10" t="s">
        <v>1396</v>
      </c>
      <c r="D319" s="10" t="s">
        <v>1460</v>
      </c>
      <c r="E319" s="10" t="s">
        <v>1326</v>
      </c>
      <c r="F319" s="9" t="n">
        <v>5278</v>
      </c>
      <c r="G319" s="10" t="s">
        <v>1458</v>
      </c>
    </row>
    <row r="320" customFormat="false" ht="15" hidden="false" customHeight="false" outlineLevel="0" collapsed="false">
      <c r="A320" s="9" t="s">
        <v>33</v>
      </c>
      <c r="B320" s="9" t="s">
        <v>26</v>
      </c>
      <c r="C320" s="10" t="s">
        <v>1396</v>
      </c>
      <c r="D320" s="10" t="s">
        <v>1461</v>
      </c>
      <c r="E320" s="10" t="s">
        <v>1326</v>
      </c>
      <c r="F320" s="9" t="n">
        <v>5204.3</v>
      </c>
      <c r="G320" s="10" t="s">
        <v>1458</v>
      </c>
    </row>
    <row r="321" customFormat="false" ht="15" hidden="false" customHeight="false" outlineLevel="0" collapsed="false">
      <c r="A321" s="9" t="s">
        <v>33</v>
      </c>
      <c r="B321" s="9" t="s">
        <v>26</v>
      </c>
      <c r="C321" s="10" t="s">
        <v>1396</v>
      </c>
      <c r="D321" s="10" t="s">
        <v>1462</v>
      </c>
      <c r="E321" s="10" t="s">
        <v>1326</v>
      </c>
      <c r="F321" s="9" t="n">
        <v>4581.4</v>
      </c>
      <c r="G321" s="10" t="s">
        <v>1458</v>
      </c>
    </row>
    <row r="322" customFormat="false" ht="15" hidden="false" customHeight="false" outlineLevel="0" collapsed="false">
      <c r="A322" s="9" t="s">
        <v>33</v>
      </c>
      <c r="B322" s="9" t="s">
        <v>26</v>
      </c>
      <c r="C322" s="10" t="s">
        <v>1396</v>
      </c>
      <c r="D322" s="10" t="s">
        <v>1463</v>
      </c>
      <c r="E322" s="10" t="s">
        <v>1326</v>
      </c>
      <c r="F322" s="9" t="n">
        <v>4644.3</v>
      </c>
      <c r="G322" s="10" t="s">
        <v>1458</v>
      </c>
    </row>
    <row r="323" customFormat="false" ht="15" hidden="false" customHeight="false" outlineLevel="0" collapsed="false">
      <c r="A323" s="9" t="s">
        <v>33</v>
      </c>
      <c r="B323" s="9" t="s">
        <v>26</v>
      </c>
      <c r="C323" s="10" t="s">
        <v>1396</v>
      </c>
      <c r="D323" s="10" t="s">
        <v>1464</v>
      </c>
      <c r="E323" s="10" t="s">
        <v>1326</v>
      </c>
      <c r="F323" s="9" t="n">
        <v>4840.6</v>
      </c>
      <c r="G323" s="10" t="s">
        <v>1458</v>
      </c>
    </row>
    <row r="324" customFormat="false" ht="15" hidden="false" customHeight="false" outlineLevel="0" collapsed="false">
      <c r="A324" s="9" t="s">
        <v>33</v>
      </c>
      <c r="B324" s="9" t="s">
        <v>26</v>
      </c>
      <c r="C324" s="10" t="s">
        <v>1396</v>
      </c>
      <c r="D324" s="10" t="s">
        <v>1465</v>
      </c>
      <c r="E324" s="10" t="s">
        <v>1326</v>
      </c>
      <c r="F324" s="9" t="n">
        <v>5694.2</v>
      </c>
      <c r="G324" s="10" t="s">
        <v>1458</v>
      </c>
    </row>
    <row r="325" customFormat="false" ht="15" hidden="false" customHeight="false" outlineLevel="0" collapsed="false">
      <c r="A325" s="9" t="s">
        <v>33</v>
      </c>
      <c r="B325" s="9" t="s">
        <v>26</v>
      </c>
      <c r="C325" s="10" t="s">
        <v>1396</v>
      </c>
      <c r="D325" s="10" t="s">
        <v>1466</v>
      </c>
      <c r="E325" s="10" t="s">
        <v>1326</v>
      </c>
      <c r="F325" s="9" t="n">
        <v>5130.9</v>
      </c>
      <c r="G325" s="10" t="s">
        <v>1458</v>
      </c>
    </row>
    <row r="326" customFormat="false" ht="15" hidden="false" customHeight="false" outlineLevel="0" collapsed="false">
      <c r="A326" s="9" t="s">
        <v>33</v>
      </c>
      <c r="B326" s="9" t="s">
        <v>26</v>
      </c>
      <c r="C326" s="10" t="s">
        <v>1396</v>
      </c>
      <c r="D326" s="10" t="s">
        <v>1467</v>
      </c>
      <c r="E326" s="10" t="s">
        <v>1326</v>
      </c>
      <c r="F326" s="9" t="n">
        <v>4906.6</v>
      </c>
      <c r="G326" s="10" t="s">
        <v>1458</v>
      </c>
    </row>
    <row r="327" customFormat="false" ht="15" hidden="false" customHeight="false" outlineLevel="0" collapsed="false">
      <c r="A327" s="9" t="s">
        <v>33</v>
      </c>
      <c r="B327" s="9" t="s">
        <v>26</v>
      </c>
      <c r="C327" s="10" t="s">
        <v>1396</v>
      </c>
      <c r="D327" s="9" t="s">
        <v>1468</v>
      </c>
      <c r="E327" s="10" t="s">
        <v>1469</v>
      </c>
      <c r="F327" s="9" t="n">
        <v>138</v>
      </c>
      <c r="G327" s="10" t="s">
        <v>1449</v>
      </c>
    </row>
    <row r="328" customFormat="false" ht="15" hidden="false" customHeight="false" outlineLevel="0" collapsed="false">
      <c r="A328" s="9" t="s">
        <v>33</v>
      </c>
      <c r="B328" s="9" t="s">
        <v>19</v>
      </c>
      <c r="C328" s="10" t="s">
        <v>156</v>
      </c>
      <c r="D328" s="10" t="s">
        <v>1470</v>
      </c>
      <c r="E328" s="10" t="s">
        <v>1326</v>
      </c>
      <c r="F328" s="9" t="n">
        <v>4612.1</v>
      </c>
      <c r="G328" s="10" t="s">
        <v>364</v>
      </c>
    </row>
    <row r="329" customFormat="false" ht="15" hidden="false" customHeight="false" outlineLevel="0" collapsed="false">
      <c r="A329" s="9" t="s">
        <v>33</v>
      </c>
      <c r="B329" s="9" t="s">
        <v>19</v>
      </c>
      <c r="C329" s="10" t="s">
        <v>156</v>
      </c>
      <c r="D329" s="10" t="s">
        <v>1471</v>
      </c>
      <c r="E329" s="10" t="s">
        <v>1326</v>
      </c>
      <c r="F329" s="9" t="n">
        <v>4481.1</v>
      </c>
      <c r="G329" s="10" t="s">
        <v>364</v>
      </c>
    </row>
    <row r="330" customFormat="false" ht="15" hidden="false" customHeight="false" outlineLevel="0" collapsed="false">
      <c r="A330" s="9" t="s">
        <v>33</v>
      </c>
      <c r="B330" s="9" t="s">
        <v>19</v>
      </c>
      <c r="C330" s="10" t="s">
        <v>156</v>
      </c>
      <c r="D330" s="10" t="s">
        <v>1472</v>
      </c>
      <c r="E330" s="10" t="s">
        <v>1326</v>
      </c>
      <c r="F330" s="9" t="n">
        <v>3787.2</v>
      </c>
      <c r="G330" s="10" t="s">
        <v>364</v>
      </c>
    </row>
    <row r="331" customFormat="false" ht="15" hidden="false" customHeight="false" outlineLevel="0" collapsed="false">
      <c r="A331" s="9" t="s">
        <v>33</v>
      </c>
      <c r="B331" s="9" t="s">
        <v>19</v>
      </c>
      <c r="C331" s="10" t="s">
        <v>156</v>
      </c>
      <c r="D331" s="10" t="s">
        <v>1473</v>
      </c>
      <c r="E331" s="10" t="s">
        <v>1326</v>
      </c>
      <c r="F331" s="9" t="n">
        <v>3791.9</v>
      </c>
      <c r="G331" s="10" t="s">
        <v>364</v>
      </c>
    </row>
    <row r="332" customFormat="false" ht="15" hidden="false" customHeight="false" outlineLevel="0" collapsed="false">
      <c r="A332" s="9" t="s">
        <v>33</v>
      </c>
      <c r="B332" s="9" t="s">
        <v>19</v>
      </c>
      <c r="C332" s="10" t="s">
        <v>156</v>
      </c>
      <c r="D332" s="10" t="s">
        <v>1474</v>
      </c>
      <c r="E332" s="10" t="s">
        <v>1326</v>
      </c>
      <c r="F332" s="9" t="n">
        <v>3658.2</v>
      </c>
      <c r="G332" s="10" t="s">
        <v>364</v>
      </c>
    </row>
    <row r="333" customFormat="false" ht="15" hidden="false" customHeight="false" outlineLevel="0" collapsed="false">
      <c r="A333" s="9" t="s">
        <v>33</v>
      </c>
      <c r="B333" s="9" t="s">
        <v>19</v>
      </c>
      <c r="C333" s="10" t="s">
        <v>156</v>
      </c>
      <c r="D333" s="10" t="s">
        <v>1475</v>
      </c>
      <c r="E333" s="10" t="s">
        <v>1326</v>
      </c>
      <c r="F333" s="9" t="n">
        <v>86.7</v>
      </c>
      <c r="G333" s="10" t="s">
        <v>162</v>
      </c>
    </row>
    <row r="334" customFormat="false" ht="15" hidden="false" customHeight="false" outlineLevel="0" collapsed="false">
      <c r="A334" s="9" t="s">
        <v>33</v>
      </c>
      <c r="B334" s="9" t="s">
        <v>19</v>
      </c>
      <c r="C334" s="10" t="s">
        <v>1072</v>
      </c>
      <c r="D334" s="10" t="s">
        <v>1476</v>
      </c>
      <c r="E334" s="10" t="s">
        <v>1326</v>
      </c>
      <c r="F334" s="9" t="n">
        <v>3857.6</v>
      </c>
      <c r="G334" s="10" t="s">
        <v>162</v>
      </c>
    </row>
    <row r="335" customFormat="false" ht="15" hidden="false" customHeight="false" outlineLevel="0" collapsed="false">
      <c r="A335" s="9" t="s">
        <v>33</v>
      </c>
      <c r="B335" s="9" t="s">
        <v>19</v>
      </c>
      <c r="C335" s="10" t="s">
        <v>1072</v>
      </c>
      <c r="D335" s="10" t="s">
        <v>1477</v>
      </c>
      <c r="E335" s="10" t="s">
        <v>1326</v>
      </c>
      <c r="F335" s="9" t="n">
        <v>4369.5</v>
      </c>
      <c r="G335" s="10" t="s">
        <v>162</v>
      </c>
    </row>
    <row r="336" customFormat="false" ht="15" hidden="false" customHeight="false" outlineLevel="0" collapsed="false">
      <c r="A336" s="9" t="s">
        <v>33</v>
      </c>
      <c r="B336" s="9" t="s">
        <v>19</v>
      </c>
      <c r="C336" s="10" t="s">
        <v>1072</v>
      </c>
      <c r="D336" s="10" t="s">
        <v>1478</v>
      </c>
      <c r="E336" s="10" t="s">
        <v>1326</v>
      </c>
      <c r="F336" s="9" t="n">
        <v>6288.6</v>
      </c>
      <c r="G336" s="10" t="s">
        <v>162</v>
      </c>
    </row>
    <row r="337" customFormat="false" ht="15" hidden="false" customHeight="false" outlineLevel="0" collapsed="false">
      <c r="A337" s="9" t="s">
        <v>33</v>
      </c>
      <c r="B337" s="9" t="s">
        <v>19</v>
      </c>
      <c r="C337" s="10" t="s">
        <v>1072</v>
      </c>
      <c r="D337" s="10" t="s">
        <v>1479</v>
      </c>
      <c r="E337" s="10" t="s">
        <v>1326</v>
      </c>
      <c r="F337" s="9" t="n">
        <v>4871.3</v>
      </c>
      <c r="G337" s="10" t="s">
        <v>162</v>
      </c>
    </row>
    <row r="338" customFormat="false" ht="15" hidden="false" customHeight="false" outlineLevel="0" collapsed="false">
      <c r="A338" s="9" t="s">
        <v>33</v>
      </c>
      <c r="B338" s="9" t="s">
        <v>19</v>
      </c>
      <c r="C338" s="10" t="s">
        <v>1072</v>
      </c>
      <c r="D338" s="10" t="s">
        <v>1480</v>
      </c>
      <c r="E338" s="10" t="s">
        <v>1326</v>
      </c>
      <c r="F338" s="9" t="n">
        <v>3918.7</v>
      </c>
      <c r="G338" s="10" t="s">
        <v>162</v>
      </c>
    </row>
    <row r="339" customFormat="false" ht="15" hidden="false" customHeight="false" outlineLevel="0" collapsed="false">
      <c r="A339" s="9" t="s">
        <v>33</v>
      </c>
      <c r="B339" s="9" t="s">
        <v>19</v>
      </c>
      <c r="C339" s="10" t="s">
        <v>1072</v>
      </c>
      <c r="D339" s="10" t="s">
        <v>1481</v>
      </c>
      <c r="E339" s="10" t="s">
        <v>1326</v>
      </c>
      <c r="F339" s="9" t="n">
        <v>4780.9</v>
      </c>
      <c r="G339" s="10" t="s">
        <v>162</v>
      </c>
    </row>
    <row r="340" customFormat="false" ht="15" hidden="false" customHeight="false" outlineLevel="0" collapsed="false">
      <c r="A340" s="9" t="s">
        <v>33</v>
      </c>
      <c r="B340" s="9" t="s">
        <v>19</v>
      </c>
      <c r="C340" s="10" t="s">
        <v>1482</v>
      </c>
      <c r="D340" s="10" t="s">
        <v>1483</v>
      </c>
      <c r="E340" s="10" t="s">
        <v>1326</v>
      </c>
      <c r="F340" s="9" t="n">
        <v>4586.9</v>
      </c>
      <c r="G340" s="10" t="s">
        <v>1114</v>
      </c>
    </row>
    <row r="341" customFormat="false" ht="15" hidden="false" customHeight="false" outlineLevel="0" collapsed="false">
      <c r="A341" s="9" t="s">
        <v>33</v>
      </c>
      <c r="B341" s="9" t="s">
        <v>19</v>
      </c>
      <c r="C341" s="10" t="s">
        <v>1482</v>
      </c>
      <c r="D341" s="10" t="s">
        <v>1484</v>
      </c>
      <c r="E341" s="10" t="s">
        <v>1326</v>
      </c>
      <c r="F341" s="9" t="n">
        <v>5217.3</v>
      </c>
      <c r="G341" s="10" t="s">
        <v>1114</v>
      </c>
    </row>
    <row r="342" customFormat="false" ht="15" hidden="false" customHeight="false" outlineLevel="0" collapsed="false">
      <c r="A342" s="9" t="s">
        <v>33</v>
      </c>
      <c r="B342" s="9" t="s">
        <v>19</v>
      </c>
      <c r="C342" s="10" t="s">
        <v>1482</v>
      </c>
      <c r="D342" s="10" t="s">
        <v>1485</v>
      </c>
      <c r="E342" s="10" t="s">
        <v>1326</v>
      </c>
      <c r="F342" s="9" t="n">
        <v>4489.1</v>
      </c>
      <c r="G342" s="10" t="s">
        <v>1114</v>
      </c>
    </row>
    <row r="343" customFormat="false" ht="15" hidden="false" customHeight="false" outlineLevel="0" collapsed="false">
      <c r="A343" s="9" t="s">
        <v>33</v>
      </c>
      <c r="B343" s="9" t="s">
        <v>19</v>
      </c>
      <c r="C343" s="10" t="s">
        <v>1482</v>
      </c>
      <c r="D343" s="10" t="s">
        <v>1486</v>
      </c>
      <c r="E343" s="10" t="s">
        <v>1326</v>
      </c>
      <c r="F343" s="9" t="n">
        <v>4538.1</v>
      </c>
      <c r="G343" s="10" t="s">
        <v>1114</v>
      </c>
    </row>
    <row r="344" customFormat="false" ht="15" hidden="false" customHeight="false" outlineLevel="0" collapsed="false">
      <c r="A344" s="9" t="s">
        <v>33</v>
      </c>
      <c r="B344" s="9" t="s">
        <v>19</v>
      </c>
      <c r="C344" s="10" t="s">
        <v>1482</v>
      </c>
      <c r="D344" s="10" t="s">
        <v>1487</v>
      </c>
      <c r="E344" s="10" t="s">
        <v>1326</v>
      </c>
      <c r="F344" s="9" t="n">
        <v>4875.4</v>
      </c>
      <c r="G344" s="10" t="s">
        <v>1488</v>
      </c>
    </row>
    <row r="345" customFormat="false" ht="15" hidden="false" customHeight="false" outlineLevel="0" collapsed="false">
      <c r="A345" s="9" t="s">
        <v>33</v>
      </c>
      <c r="B345" s="9" t="s">
        <v>19</v>
      </c>
      <c r="C345" s="10" t="s">
        <v>1482</v>
      </c>
      <c r="D345" s="10" t="s">
        <v>1489</v>
      </c>
      <c r="E345" s="10" t="s">
        <v>1326</v>
      </c>
      <c r="F345" s="9" t="n">
        <v>5079.1</v>
      </c>
      <c r="G345" s="10" t="s">
        <v>1488</v>
      </c>
    </row>
    <row r="346" customFormat="false" ht="15" hidden="false" customHeight="false" outlineLevel="0" collapsed="false">
      <c r="A346" s="9" t="s">
        <v>33</v>
      </c>
      <c r="B346" s="9" t="s">
        <v>19</v>
      </c>
      <c r="C346" s="10" t="s">
        <v>1482</v>
      </c>
      <c r="D346" s="10" t="s">
        <v>1490</v>
      </c>
      <c r="E346" s="10" t="s">
        <v>1326</v>
      </c>
      <c r="F346" s="9" t="n">
        <v>4647.6</v>
      </c>
      <c r="G346" s="10" t="s">
        <v>1488</v>
      </c>
    </row>
    <row r="347" customFormat="false" ht="15" hidden="false" customHeight="false" outlineLevel="0" collapsed="false">
      <c r="A347" s="9" t="s">
        <v>33</v>
      </c>
      <c r="B347" s="9" t="s">
        <v>19</v>
      </c>
      <c r="C347" s="10" t="s">
        <v>1482</v>
      </c>
      <c r="D347" s="10" t="s">
        <v>1491</v>
      </c>
      <c r="E347" s="10" t="s">
        <v>1326</v>
      </c>
      <c r="F347" s="9" t="n">
        <v>4482.6</v>
      </c>
      <c r="G347" s="10" t="s">
        <v>1488</v>
      </c>
    </row>
    <row r="348" customFormat="false" ht="15" hidden="false" customHeight="false" outlineLevel="0" collapsed="false">
      <c r="A348" s="9" t="s">
        <v>33</v>
      </c>
      <c r="B348" s="9" t="s">
        <v>19</v>
      </c>
      <c r="C348" s="10" t="s">
        <v>1482</v>
      </c>
      <c r="D348" s="10" t="s">
        <v>1492</v>
      </c>
      <c r="E348" s="10" t="s">
        <v>1326</v>
      </c>
      <c r="F348" s="9" t="n">
        <v>4109.1</v>
      </c>
      <c r="G348" s="10" t="s">
        <v>1488</v>
      </c>
    </row>
    <row r="349" customFormat="false" ht="15" hidden="false" customHeight="false" outlineLevel="0" collapsed="false">
      <c r="A349" s="9" t="s">
        <v>33</v>
      </c>
      <c r="B349" s="9" t="s">
        <v>19</v>
      </c>
      <c r="C349" s="10" t="s">
        <v>1482</v>
      </c>
      <c r="D349" s="10" t="s">
        <v>1493</v>
      </c>
      <c r="E349" s="10" t="s">
        <v>1326</v>
      </c>
      <c r="F349" s="9" t="n">
        <v>4967.2</v>
      </c>
      <c r="G349" s="10" t="s">
        <v>1488</v>
      </c>
    </row>
    <row r="350" customFormat="false" ht="15" hidden="false" customHeight="false" outlineLevel="0" collapsed="false">
      <c r="A350" s="9" t="s">
        <v>33</v>
      </c>
      <c r="B350" s="9" t="s">
        <v>19</v>
      </c>
      <c r="C350" s="10" t="s">
        <v>1482</v>
      </c>
      <c r="D350" s="10" t="s">
        <v>1494</v>
      </c>
      <c r="E350" s="10" t="s">
        <v>1326</v>
      </c>
      <c r="F350" s="9" t="n">
        <v>4959.4</v>
      </c>
      <c r="G350" s="10" t="s">
        <v>1488</v>
      </c>
    </row>
    <row r="351" customFormat="false" ht="15" hidden="false" customHeight="false" outlineLevel="0" collapsed="false">
      <c r="A351" s="9" t="s">
        <v>33</v>
      </c>
      <c r="B351" s="9" t="s">
        <v>19</v>
      </c>
      <c r="C351" s="10" t="s">
        <v>1482</v>
      </c>
      <c r="D351" s="10" t="s">
        <v>1495</v>
      </c>
      <c r="E351" s="10" t="s">
        <v>1326</v>
      </c>
      <c r="F351" s="9" t="n">
        <v>4755.4</v>
      </c>
      <c r="G351" s="10" t="s">
        <v>1488</v>
      </c>
    </row>
    <row r="352" customFormat="false" ht="15" hidden="false" customHeight="false" outlineLevel="0" collapsed="false">
      <c r="A352" s="9" t="s">
        <v>33</v>
      </c>
      <c r="B352" s="9" t="s">
        <v>19</v>
      </c>
      <c r="C352" s="10" t="s">
        <v>1482</v>
      </c>
      <c r="D352" s="10" t="s">
        <v>1496</v>
      </c>
      <c r="E352" s="10" t="s">
        <v>1326</v>
      </c>
      <c r="F352" s="9" t="n">
        <v>4460.7</v>
      </c>
      <c r="G352" s="10" t="s">
        <v>1488</v>
      </c>
    </row>
    <row r="353" customFormat="false" ht="15" hidden="false" customHeight="false" outlineLevel="0" collapsed="false">
      <c r="A353" s="9" t="s">
        <v>33</v>
      </c>
      <c r="B353" s="9" t="s">
        <v>19</v>
      </c>
      <c r="C353" s="10" t="s">
        <v>1482</v>
      </c>
      <c r="D353" s="10" t="s">
        <v>1497</v>
      </c>
      <c r="E353" s="10" t="s">
        <v>1326</v>
      </c>
      <c r="F353" s="9" t="n">
        <v>4893.5</v>
      </c>
      <c r="G353" s="10" t="s">
        <v>1488</v>
      </c>
    </row>
    <row r="354" customFormat="false" ht="15" hidden="false" customHeight="false" outlineLevel="0" collapsed="false">
      <c r="A354" s="9" t="s">
        <v>33</v>
      </c>
      <c r="B354" s="9" t="s">
        <v>19</v>
      </c>
      <c r="C354" s="10" t="s">
        <v>1482</v>
      </c>
      <c r="D354" s="10" t="s">
        <v>1498</v>
      </c>
      <c r="E354" s="10" t="s">
        <v>1326</v>
      </c>
      <c r="F354" s="9" t="n">
        <v>5135.4</v>
      </c>
      <c r="G354" s="10" t="s">
        <v>1488</v>
      </c>
    </row>
    <row r="355" customFormat="false" ht="15" hidden="false" customHeight="false" outlineLevel="0" collapsed="false">
      <c r="A355" s="9" t="s">
        <v>33</v>
      </c>
      <c r="B355" s="9" t="s">
        <v>19</v>
      </c>
      <c r="C355" s="10" t="s">
        <v>1482</v>
      </c>
      <c r="D355" s="10" t="s">
        <v>1499</v>
      </c>
      <c r="E355" s="10" t="s">
        <v>1326</v>
      </c>
      <c r="F355" s="9" t="n">
        <v>3963.8</v>
      </c>
      <c r="G355" s="10" t="s">
        <v>1488</v>
      </c>
    </row>
    <row r="356" customFormat="false" ht="15" hidden="false" customHeight="false" outlineLevel="0" collapsed="false">
      <c r="A356" s="9" t="s">
        <v>33</v>
      </c>
      <c r="B356" s="9" t="s">
        <v>19</v>
      </c>
      <c r="C356" s="10" t="s">
        <v>1500</v>
      </c>
      <c r="D356" s="10" t="s">
        <v>1501</v>
      </c>
      <c r="E356" s="10" t="s">
        <v>1326</v>
      </c>
      <c r="F356" s="9" t="n">
        <v>4928.2</v>
      </c>
      <c r="G356" s="10" t="s">
        <v>1502</v>
      </c>
    </row>
    <row r="357" customFormat="false" ht="15" hidden="false" customHeight="false" outlineLevel="0" collapsed="false">
      <c r="A357" s="9" t="s">
        <v>33</v>
      </c>
      <c r="B357" s="9" t="s">
        <v>19</v>
      </c>
      <c r="C357" s="10" t="s">
        <v>1500</v>
      </c>
      <c r="D357" s="10" t="s">
        <v>1503</v>
      </c>
      <c r="E357" s="10" t="s">
        <v>1326</v>
      </c>
      <c r="F357" s="9" t="n">
        <v>5119.2</v>
      </c>
      <c r="G357" s="10" t="s">
        <v>1502</v>
      </c>
    </row>
    <row r="358" customFormat="false" ht="15" hidden="false" customHeight="false" outlineLevel="0" collapsed="false">
      <c r="A358" s="9" t="s">
        <v>33</v>
      </c>
      <c r="B358" s="9" t="s">
        <v>19</v>
      </c>
      <c r="C358" s="10" t="s">
        <v>1500</v>
      </c>
      <c r="D358" s="10" t="s">
        <v>1504</v>
      </c>
      <c r="E358" s="10" t="s">
        <v>1326</v>
      </c>
      <c r="F358" s="9" t="n">
        <v>5029.4</v>
      </c>
      <c r="G358" s="10" t="s">
        <v>1502</v>
      </c>
    </row>
    <row r="359" customFormat="false" ht="15" hidden="false" customHeight="false" outlineLevel="0" collapsed="false">
      <c r="A359" s="9" t="s">
        <v>33</v>
      </c>
      <c r="B359" s="9" t="s">
        <v>19</v>
      </c>
      <c r="C359" s="10" t="s">
        <v>1500</v>
      </c>
      <c r="D359" s="10" t="s">
        <v>1505</v>
      </c>
      <c r="E359" s="10" t="s">
        <v>1326</v>
      </c>
      <c r="F359" s="9" t="n">
        <v>5426.9</v>
      </c>
      <c r="G359" s="10" t="s">
        <v>1502</v>
      </c>
    </row>
    <row r="360" customFormat="false" ht="15" hidden="false" customHeight="false" outlineLevel="0" collapsed="false">
      <c r="A360" s="9" t="s">
        <v>33</v>
      </c>
      <c r="B360" s="9" t="s">
        <v>19</v>
      </c>
      <c r="C360" s="10" t="s">
        <v>1500</v>
      </c>
      <c r="D360" s="10" t="s">
        <v>1506</v>
      </c>
      <c r="E360" s="10" t="s">
        <v>1326</v>
      </c>
      <c r="F360" s="9" t="n">
        <v>5250.2</v>
      </c>
      <c r="G360" s="10" t="s">
        <v>1502</v>
      </c>
    </row>
    <row r="361" customFormat="false" ht="15" hidden="false" customHeight="false" outlineLevel="0" collapsed="false">
      <c r="A361" s="9" t="s">
        <v>33</v>
      </c>
      <c r="B361" s="9" t="s">
        <v>19</v>
      </c>
      <c r="C361" s="10" t="s">
        <v>1500</v>
      </c>
      <c r="D361" s="10" t="s">
        <v>1507</v>
      </c>
      <c r="E361" s="10" t="s">
        <v>1326</v>
      </c>
      <c r="F361" s="9" t="n">
        <v>4852.2</v>
      </c>
      <c r="G361" s="10" t="s">
        <v>1502</v>
      </c>
    </row>
    <row r="362" customFormat="false" ht="15" hidden="false" customHeight="false" outlineLevel="0" collapsed="false">
      <c r="A362" s="9" t="s">
        <v>33</v>
      </c>
      <c r="B362" s="9" t="s">
        <v>19</v>
      </c>
      <c r="C362" s="10" t="s">
        <v>1500</v>
      </c>
      <c r="D362" s="10" t="s">
        <v>1508</v>
      </c>
      <c r="E362" s="10" t="s">
        <v>1326</v>
      </c>
      <c r="F362" s="9" t="n">
        <v>5404.1</v>
      </c>
      <c r="G362" s="10" t="s">
        <v>1502</v>
      </c>
    </row>
    <row r="363" customFormat="false" ht="15" hidden="false" customHeight="false" outlineLevel="0" collapsed="false">
      <c r="A363" s="9" t="s">
        <v>33</v>
      </c>
      <c r="B363" s="9" t="s">
        <v>19</v>
      </c>
      <c r="C363" s="10" t="s">
        <v>1509</v>
      </c>
      <c r="D363" s="10" t="s">
        <v>1510</v>
      </c>
      <c r="E363" s="10" t="s">
        <v>1326</v>
      </c>
      <c r="F363" s="9" t="n">
        <v>4483.3</v>
      </c>
      <c r="G363" s="10" t="s">
        <v>170</v>
      </c>
    </row>
    <row r="364" customFormat="false" ht="15" hidden="false" customHeight="false" outlineLevel="0" collapsed="false">
      <c r="A364" s="9" t="s">
        <v>33</v>
      </c>
      <c r="B364" s="9" t="s">
        <v>19</v>
      </c>
      <c r="C364" s="10" t="s">
        <v>1509</v>
      </c>
      <c r="D364" s="10" t="s">
        <v>1511</v>
      </c>
      <c r="E364" s="10" t="s">
        <v>1326</v>
      </c>
      <c r="F364" s="9" t="n">
        <v>4986.3</v>
      </c>
      <c r="G364" s="10" t="s">
        <v>170</v>
      </c>
    </row>
    <row r="365" customFormat="false" ht="15" hidden="false" customHeight="false" outlineLevel="0" collapsed="false">
      <c r="A365" s="9" t="s">
        <v>33</v>
      </c>
      <c r="B365" s="9" t="s">
        <v>19</v>
      </c>
      <c r="C365" s="10" t="s">
        <v>1509</v>
      </c>
      <c r="D365" s="10" t="s">
        <v>1512</v>
      </c>
      <c r="E365" s="10" t="s">
        <v>1326</v>
      </c>
      <c r="F365" s="9" t="n">
        <v>3120.5</v>
      </c>
      <c r="G365" s="10" t="s">
        <v>170</v>
      </c>
    </row>
    <row r="366" customFormat="false" ht="15" hidden="false" customHeight="false" outlineLevel="0" collapsed="false">
      <c r="A366" s="9" t="s">
        <v>33</v>
      </c>
      <c r="B366" s="9" t="s">
        <v>19</v>
      </c>
      <c r="C366" s="10" t="s">
        <v>1509</v>
      </c>
      <c r="D366" s="10" t="s">
        <v>1513</v>
      </c>
      <c r="E366" s="10" t="s">
        <v>1326</v>
      </c>
      <c r="F366" s="9" t="n">
        <v>4381.1</v>
      </c>
      <c r="G366" s="10" t="s">
        <v>170</v>
      </c>
    </row>
    <row r="367" customFormat="false" ht="15" hidden="false" customHeight="false" outlineLevel="0" collapsed="false">
      <c r="A367" s="9" t="s">
        <v>33</v>
      </c>
      <c r="B367" s="9" t="s">
        <v>19</v>
      </c>
      <c r="C367" s="10" t="s">
        <v>1509</v>
      </c>
      <c r="D367" s="10" t="s">
        <v>1514</v>
      </c>
      <c r="E367" s="10" t="s">
        <v>1326</v>
      </c>
      <c r="F367" s="9" t="n">
        <v>4787.4</v>
      </c>
      <c r="G367" s="10" t="s">
        <v>170</v>
      </c>
    </row>
    <row r="368" customFormat="false" ht="15" hidden="false" customHeight="false" outlineLevel="0" collapsed="false">
      <c r="A368" s="9" t="s">
        <v>33</v>
      </c>
      <c r="B368" s="9" t="s">
        <v>19</v>
      </c>
      <c r="C368" s="10" t="s">
        <v>1509</v>
      </c>
      <c r="D368" s="10" t="s">
        <v>1515</v>
      </c>
      <c r="E368" s="10" t="s">
        <v>1326</v>
      </c>
      <c r="F368" s="9" t="n">
        <v>4881.8</v>
      </c>
      <c r="G368" s="10" t="s">
        <v>170</v>
      </c>
    </row>
    <row r="369" customFormat="false" ht="15" hidden="false" customHeight="false" outlineLevel="0" collapsed="false">
      <c r="A369" s="9" t="s">
        <v>33</v>
      </c>
      <c r="B369" s="9" t="s">
        <v>19</v>
      </c>
      <c r="C369" s="10" t="s">
        <v>1509</v>
      </c>
      <c r="D369" s="10" t="s">
        <v>1516</v>
      </c>
      <c r="E369" s="10" t="s">
        <v>1326</v>
      </c>
      <c r="F369" s="9" t="n">
        <v>4251.4</v>
      </c>
      <c r="G369" s="10" t="s">
        <v>170</v>
      </c>
    </row>
    <row r="370" customFormat="false" ht="15" hidden="false" customHeight="false" outlineLevel="0" collapsed="false">
      <c r="A370" s="9" t="s">
        <v>33</v>
      </c>
      <c r="B370" s="9" t="s">
        <v>19</v>
      </c>
      <c r="C370" s="10" t="s">
        <v>1509</v>
      </c>
      <c r="D370" s="10" t="s">
        <v>1517</v>
      </c>
      <c r="E370" s="10" t="s">
        <v>1326</v>
      </c>
      <c r="F370" s="9" t="n">
        <v>4313.9</v>
      </c>
      <c r="G370" s="10" t="s">
        <v>170</v>
      </c>
    </row>
    <row r="371" customFormat="false" ht="15" hidden="false" customHeight="false" outlineLevel="0" collapsed="false">
      <c r="A371" s="9" t="s">
        <v>33</v>
      </c>
      <c r="B371" s="9" t="s">
        <v>19</v>
      </c>
      <c r="C371" s="10" t="s">
        <v>1509</v>
      </c>
      <c r="D371" s="10" t="s">
        <v>1518</v>
      </c>
      <c r="E371" s="10" t="s">
        <v>1326</v>
      </c>
      <c r="F371" s="9" t="n">
        <v>4292.9</v>
      </c>
      <c r="G371" s="10" t="s">
        <v>1519</v>
      </c>
    </row>
    <row r="372" customFormat="false" ht="15" hidden="false" customHeight="false" outlineLevel="0" collapsed="false">
      <c r="A372" s="9" t="s">
        <v>33</v>
      </c>
      <c r="B372" s="9" t="s">
        <v>19</v>
      </c>
      <c r="C372" s="10" t="s">
        <v>1509</v>
      </c>
      <c r="D372" s="10" t="s">
        <v>1520</v>
      </c>
      <c r="E372" s="10" t="s">
        <v>1326</v>
      </c>
      <c r="F372" s="9" t="n">
        <v>4305.3</v>
      </c>
      <c r="G372" s="10" t="s">
        <v>1519</v>
      </c>
    </row>
    <row r="373" customFormat="false" ht="15" hidden="false" customHeight="false" outlineLevel="0" collapsed="false">
      <c r="A373" s="9" t="s">
        <v>33</v>
      </c>
      <c r="B373" s="9" t="s">
        <v>19</v>
      </c>
      <c r="C373" s="10" t="s">
        <v>1509</v>
      </c>
      <c r="D373" s="10" t="s">
        <v>1521</v>
      </c>
      <c r="E373" s="10" t="s">
        <v>1326</v>
      </c>
      <c r="F373" s="9" t="n">
        <v>4323.2</v>
      </c>
      <c r="G373" s="10" t="s">
        <v>1519</v>
      </c>
    </row>
    <row r="374" customFormat="false" ht="15" hidden="false" customHeight="false" outlineLevel="0" collapsed="false">
      <c r="A374" s="9" t="s">
        <v>33</v>
      </c>
      <c r="B374" s="9" t="s">
        <v>19</v>
      </c>
      <c r="C374" s="10" t="s">
        <v>1509</v>
      </c>
      <c r="D374" s="10" t="s">
        <v>1522</v>
      </c>
      <c r="E374" s="10" t="s">
        <v>1326</v>
      </c>
      <c r="F374" s="9" t="n">
        <v>4590.7</v>
      </c>
      <c r="G374" s="10" t="s">
        <v>1519</v>
      </c>
    </row>
    <row r="375" customFormat="false" ht="15" hidden="false" customHeight="false" outlineLevel="0" collapsed="false">
      <c r="A375" s="9" t="s">
        <v>33</v>
      </c>
      <c r="B375" s="9" t="s">
        <v>19</v>
      </c>
      <c r="C375" s="10" t="s">
        <v>1509</v>
      </c>
      <c r="D375" s="10" t="s">
        <v>1523</v>
      </c>
      <c r="E375" s="10" t="s">
        <v>1326</v>
      </c>
      <c r="F375" s="9" t="n">
        <v>5364.8</v>
      </c>
      <c r="G375" s="10" t="s">
        <v>1519</v>
      </c>
    </row>
    <row r="376" customFormat="false" ht="15" hidden="false" customHeight="false" outlineLevel="0" collapsed="false">
      <c r="A376" s="9" t="s">
        <v>33</v>
      </c>
      <c r="B376" s="9" t="s">
        <v>19</v>
      </c>
      <c r="C376" s="10" t="s">
        <v>1509</v>
      </c>
      <c r="D376" s="10" t="s">
        <v>1524</v>
      </c>
      <c r="E376" s="10" t="s">
        <v>1326</v>
      </c>
      <c r="F376" s="9" t="n">
        <v>5196.5</v>
      </c>
      <c r="G376" s="10" t="s">
        <v>1519</v>
      </c>
    </row>
    <row r="377" customFormat="false" ht="15" hidden="false" customHeight="false" outlineLevel="0" collapsed="false">
      <c r="A377" s="9" t="s">
        <v>33</v>
      </c>
      <c r="B377" s="9" t="s">
        <v>19</v>
      </c>
      <c r="C377" s="10" t="s">
        <v>1509</v>
      </c>
      <c r="D377" s="10" t="s">
        <v>1525</v>
      </c>
      <c r="E377" s="10" t="s">
        <v>1326</v>
      </c>
      <c r="F377" s="9" t="n">
        <v>4520</v>
      </c>
      <c r="G377" s="10" t="s">
        <v>1519</v>
      </c>
    </row>
    <row r="378" customFormat="false" ht="15" hidden="false" customHeight="false" outlineLevel="0" collapsed="false">
      <c r="A378" s="9" t="s">
        <v>33</v>
      </c>
      <c r="B378" s="9" t="s">
        <v>19</v>
      </c>
      <c r="C378" s="10" t="s">
        <v>1509</v>
      </c>
      <c r="D378" s="10" t="s">
        <v>1526</v>
      </c>
      <c r="E378" s="10" t="s">
        <v>1326</v>
      </c>
      <c r="F378" s="9" t="n">
        <v>5974.5</v>
      </c>
      <c r="G378" s="10" t="s">
        <v>1519</v>
      </c>
    </row>
    <row r="379" customFormat="false" ht="15" hidden="false" customHeight="false" outlineLevel="0" collapsed="false">
      <c r="A379" s="9" t="s">
        <v>33</v>
      </c>
      <c r="B379" s="9" t="s">
        <v>19</v>
      </c>
      <c r="C379" s="10" t="s">
        <v>1509</v>
      </c>
      <c r="D379" s="10" t="s">
        <v>1527</v>
      </c>
      <c r="E379" s="10" t="s">
        <v>1326</v>
      </c>
      <c r="F379" s="9" t="n">
        <v>4664.3</v>
      </c>
      <c r="G379" s="10" t="s">
        <v>1519</v>
      </c>
    </row>
    <row r="380" customFormat="false" ht="15" hidden="false" customHeight="false" outlineLevel="0" collapsed="false">
      <c r="A380" s="9" t="s">
        <v>33</v>
      </c>
      <c r="B380" s="9" t="s">
        <v>19</v>
      </c>
      <c r="C380" s="10" t="s">
        <v>1509</v>
      </c>
      <c r="D380" s="10" t="s">
        <v>1528</v>
      </c>
      <c r="E380" s="10" t="s">
        <v>1326</v>
      </c>
      <c r="F380" s="9" t="n">
        <v>4717.7</v>
      </c>
      <c r="G380" s="10" t="s">
        <v>1519</v>
      </c>
    </row>
    <row r="381" customFormat="false" ht="15" hidden="false" customHeight="false" outlineLevel="0" collapsed="false">
      <c r="A381" s="9" t="s">
        <v>33</v>
      </c>
      <c r="B381" s="9" t="s">
        <v>19</v>
      </c>
      <c r="C381" s="10" t="s">
        <v>1509</v>
      </c>
      <c r="D381" s="10" t="s">
        <v>1529</v>
      </c>
      <c r="E381" s="10" t="s">
        <v>1326</v>
      </c>
      <c r="F381" s="9" t="n">
        <v>5468.3</v>
      </c>
      <c r="G381" s="10" t="s">
        <v>1519</v>
      </c>
    </row>
    <row r="382" customFormat="false" ht="15" hidden="false" customHeight="false" outlineLevel="0" collapsed="false">
      <c r="A382" s="9" t="s">
        <v>33</v>
      </c>
      <c r="B382" s="9" t="s">
        <v>19</v>
      </c>
      <c r="C382" s="10" t="s">
        <v>1509</v>
      </c>
      <c r="D382" s="10" t="s">
        <v>1530</v>
      </c>
      <c r="E382" s="10" t="s">
        <v>1326</v>
      </c>
      <c r="F382" s="9" t="n">
        <v>5359.2</v>
      </c>
      <c r="G382" s="10" t="s">
        <v>1519</v>
      </c>
    </row>
    <row r="383" customFormat="false" ht="15" hidden="false" customHeight="false" outlineLevel="0" collapsed="false">
      <c r="A383" s="9" t="s">
        <v>33</v>
      </c>
      <c r="B383" s="9" t="s">
        <v>19</v>
      </c>
      <c r="C383" s="10" t="s">
        <v>1509</v>
      </c>
      <c r="D383" s="10" t="s">
        <v>1531</v>
      </c>
      <c r="E383" s="10" t="s">
        <v>1326</v>
      </c>
      <c r="F383" s="9" t="n">
        <v>3854.3</v>
      </c>
      <c r="G383" s="10" t="s">
        <v>1519</v>
      </c>
    </row>
    <row r="384" customFormat="false" ht="15" hidden="false" customHeight="false" outlineLevel="0" collapsed="false">
      <c r="A384" s="9" t="s">
        <v>33</v>
      </c>
      <c r="B384" s="9" t="s">
        <v>19</v>
      </c>
      <c r="C384" s="10" t="s">
        <v>1074</v>
      </c>
      <c r="D384" s="10" t="s">
        <v>1532</v>
      </c>
      <c r="E384" s="10" t="s">
        <v>1326</v>
      </c>
      <c r="F384" s="9" t="n">
        <v>4918.4</v>
      </c>
      <c r="G384" s="10" t="s">
        <v>1076</v>
      </c>
    </row>
    <row r="385" customFormat="false" ht="15" hidden="false" customHeight="false" outlineLevel="0" collapsed="false">
      <c r="A385" s="9" t="s">
        <v>33</v>
      </c>
      <c r="B385" s="9" t="s">
        <v>19</v>
      </c>
      <c r="C385" s="10" t="s">
        <v>1074</v>
      </c>
      <c r="D385" s="10" t="s">
        <v>1533</v>
      </c>
      <c r="E385" s="10" t="s">
        <v>1326</v>
      </c>
      <c r="F385" s="9" t="n">
        <v>4107.5</v>
      </c>
      <c r="G385" s="10" t="s">
        <v>1076</v>
      </c>
    </row>
    <row r="386" customFormat="false" ht="15" hidden="false" customHeight="false" outlineLevel="0" collapsed="false">
      <c r="A386" s="9" t="s">
        <v>33</v>
      </c>
      <c r="B386" s="9" t="s">
        <v>19</v>
      </c>
      <c r="C386" s="10" t="s">
        <v>1074</v>
      </c>
      <c r="D386" s="10" t="s">
        <v>1534</v>
      </c>
      <c r="E386" s="10" t="s">
        <v>1326</v>
      </c>
      <c r="F386" s="9" t="n">
        <v>4276.9</v>
      </c>
      <c r="G386" s="10" t="s">
        <v>1076</v>
      </c>
    </row>
    <row r="387" customFormat="false" ht="15" hidden="false" customHeight="false" outlineLevel="0" collapsed="false">
      <c r="A387" s="9" t="s">
        <v>33</v>
      </c>
      <c r="B387" s="9" t="s">
        <v>19</v>
      </c>
      <c r="C387" s="10" t="s">
        <v>1074</v>
      </c>
      <c r="D387" s="10" t="s">
        <v>1535</v>
      </c>
      <c r="E387" s="10" t="s">
        <v>1326</v>
      </c>
      <c r="F387" s="9" t="n">
        <v>4420.8</v>
      </c>
      <c r="G387" s="10" t="s">
        <v>1076</v>
      </c>
    </row>
    <row r="388" customFormat="false" ht="15" hidden="false" customHeight="false" outlineLevel="0" collapsed="false">
      <c r="A388" s="9" t="s">
        <v>33</v>
      </c>
      <c r="B388" s="9" t="s">
        <v>19</v>
      </c>
      <c r="C388" s="10" t="s">
        <v>1074</v>
      </c>
      <c r="D388" s="10" t="s">
        <v>1536</v>
      </c>
      <c r="E388" s="10" t="s">
        <v>1326</v>
      </c>
      <c r="F388" s="9" t="n">
        <v>3912.4</v>
      </c>
      <c r="G388" s="10" t="s">
        <v>1076</v>
      </c>
    </row>
    <row r="389" customFormat="false" ht="15" hidden="false" customHeight="false" outlineLevel="0" collapsed="false">
      <c r="A389" s="9" t="s">
        <v>33</v>
      </c>
      <c r="B389" s="9" t="s">
        <v>19</v>
      </c>
      <c r="C389" s="10" t="s">
        <v>1074</v>
      </c>
      <c r="D389" s="10" t="s">
        <v>1537</v>
      </c>
      <c r="E389" s="10" t="s">
        <v>1326</v>
      </c>
      <c r="F389" s="9" t="n">
        <v>3935</v>
      </c>
      <c r="G389" s="10" t="s">
        <v>1076</v>
      </c>
    </row>
    <row r="390" customFormat="false" ht="15" hidden="false" customHeight="false" outlineLevel="0" collapsed="false">
      <c r="A390" s="9" t="s">
        <v>33</v>
      </c>
      <c r="B390" s="9" t="s">
        <v>19</v>
      </c>
      <c r="C390" s="10" t="s">
        <v>1074</v>
      </c>
      <c r="D390" s="10" t="s">
        <v>1538</v>
      </c>
      <c r="E390" s="10" t="s">
        <v>1326</v>
      </c>
      <c r="F390" s="9" t="n">
        <v>4625.5</v>
      </c>
      <c r="G390" s="10" t="s">
        <v>1076</v>
      </c>
    </row>
    <row r="391" customFormat="false" ht="15" hidden="false" customHeight="false" outlineLevel="0" collapsed="false">
      <c r="A391" s="9" t="s">
        <v>33</v>
      </c>
      <c r="B391" s="9" t="s">
        <v>19</v>
      </c>
      <c r="C391" s="10" t="s">
        <v>1077</v>
      </c>
      <c r="D391" s="10" t="s">
        <v>1539</v>
      </c>
      <c r="E391" s="10" t="s">
        <v>1326</v>
      </c>
      <c r="F391" s="9" t="n">
        <v>165.7</v>
      </c>
      <c r="G391" s="10" t="s">
        <v>1079</v>
      </c>
    </row>
    <row r="392" customFormat="false" ht="15" hidden="false" customHeight="false" outlineLevel="0" collapsed="false">
      <c r="A392" s="9" t="s">
        <v>33</v>
      </c>
      <c r="B392" s="9" t="s">
        <v>19</v>
      </c>
      <c r="C392" s="10" t="s">
        <v>1077</v>
      </c>
      <c r="D392" s="10" t="s">
        <v>1540</v>
      </c>
      <c r="E392" s="10" t="s">
        <v>1326</v>
      </c>
      <c r="F392" s="9" t="n">
        <v>131.1</v>
      </c>
      <c r="G392" s="10" t="s">
        <v>1079</v>
      </c>
    </row>
    <row r="393" customFormat="false" ht="15" hidden="false" customHeight="false" outlineLevel="0" collapsed="false">
      <c r="A393" s="9" t="s">
        <v>33</v>
      </c>
      <c r="B393" s="9" t="s">
        <v>19</v>
      </c>
      <c r="C393" s="10" t="s">
        <v>1077</v>
      </c>
      <c r="D393" s="10" t="s">
        <v>1541</v>
      </c>
      <c r="E393" s="10" t="s">
        <v>1326</v>
      </c>
      <c r="F393" s="9" t="n">
        <v>132.4</v>
      </c>
      <c r="G393" s="10" t="s">
        <v>1079</v>
      </c>
    </row>
    <row r="394" customFormat="false" ht="15" hidden="false" customHeight="false" outlineLevel="0" collapsed="false">
      <c r="A394" s="9" t="s">
        <v>33</v>
      </c>
      <c r="B394" s="9" t="s">
        <v>19</v>
      </c>
      <c r="C394" s="10" t="s">
        <v>1077</v>
      </c>
      <c r="D394" s="10" t="s">
        <v>1542</v>
      </c>
      <c r="E394" s="10" t="s">
        <v>1326</v>
      </c>
      <c r="F394" s="9" t="n">
        <v>124.9</v>
      </c>
      <c r="G394" s="10" t="s">
        <v>1079</v>
      </c>
    </row>
    <row r="395" customFormat="false" ht="15" hidden="false" customHeight="false" outlineLevel="0" collapsed="false">
      <c r="A395" s="9" t="s">
        <v>33</v>
      </c>
      <c r="B395" s="9" t="s">
        <v>19</v>
      </c>
      <c r="C395" s="10" t="s">
        <v>1077</v>
      </c>
      <c r="D395" s="10" t="s">
        <v>1543</v>
      </c>
      <c r="E395" s="10" t="s">
        <v>1326</v>
      </c>
      <c r="F395" s="9" t="n">
        <v>182.5</v>
      </c>
      <c r="G395" s="10" t="s">
        <v>1079</v>
      </c>
    </row>
    <row r="396" customFormat="false" ht="15" hidden="false" customHeight="false" outlineLevel="0" collapsed="false">
      <c r="A396" s="9" t="s">
        <v>33</v>
      </c>
      <c r="B396" s="9" t="s">
        <v>19</v>
      </c>
      <c r="C396" s="10" t="s">
        <v>1077</v>
      </c>
      <c r="D396" s="10" t="s">
        <v>1544</v>
      </c>
      <c r="E396" s="10" t="s">
        <v>1326</v>
      </c>
      <c r="F396" s="9" t="n">
        <v>127.3</v>
      </c>
      <c r="G396" s="10" t="s">
        <v>1079</v>
      </c>
    </row>
    <row r="397" customFormat="false" ht="15" hidden="false" customHeight="false" outlineLevel="0" collapsed="false">
      <c r="A397" s="9" t="s">
        <v>33</v>
      </c>
      <c r="B397" s="9" t="s">
        <v>19</v>
      </c>
      <c r="C397" s="10" t="s">
        <v>1077</v>
      </c>
      <c r="D397" s="10" t="s">
        <v>1545</v>
      </c>
      <c r="E397" s="10" t="s">
        <v>1326</v>
      </c>
      <c r="F397" s="9" t="n">
        <v>112.8</v>
      </c>
      <c r="G397" s="10" t="s">
        <v>1079</v>
      </c>
    </row>
    <row r="398" customFormat="false" ht="15" hidden="false" customHeight="false" outlineLevel="0" collapsed="false">
      <c r="A398" s="9" t="s">
        <v>33</v>
      </c>
      <c r="B398" s="9" t="s">
        <v>19</v>
      </c>
      <c r="C398" s="10" t="s">
        <v>1077</v>
      </c>
      <c r="D398" s="10" t="s">
        <v>1546</v>
      </c>
      <c r="E398" s="10" t="s">
        <v>1326</v>
      </c>
      <c r="F398" s="9" t="n">
        <v>145.8</v>
      </c>
      <c r="G398" s="10" t="s">
        <v>1079</v>
      </c>
    </row>
    <row r="399" customFormat="false" ht="15" hidden="false" customHeight="false" outlineLevel="0" collapsed="false">
      <c r="A399" s="9" t="s">
        <v>33</v>
      </c>
      <c r="B399" s="9" t="s">
        <v>19</v>
      </c>
      <c r="C399" s="10" t="s">
        <v>1547</v>
      </c>
      <c r="D399" s="10" t="s">
        <v>1548</v>
      </c>
      <c r="E399" s="10" t="s">
        <v>1326</v>
      </c>
      <c r="F399" s="9" t="n">
        <v>3818.3</v>
      </c>
      <c r="G399" s="10" t="s">
        <v>1549</v>
      </c>
    </row>
    <row r="400" customFormat="false" ht="15" hidden="false" customHeight="false" outlineLevel="0" collapsed="false">
      <c r="A400" s="9" t="s">
        <v>33</v>
      </c>
      <c r="B400" s="9" t="s">
        <v>19</v>
      </c>
      <c r="C400" s="10" t="s">
        <v>1547</v>
      </c>
      <c r="D400" s="10" t="s">
        <v>1550</v>
      </c>
      <c r="E400" s="10" t="s">
        <v>1326</v>
      </c>
      <c r="F400" s="9" t="n">
        <v>4032.1</v>
      </c>
      <c r="G400" s="10" t="s">
        <v>1549</v>
      </c>
    </row>
    <row r="401" customFormat="false" ht="15" hidden="false" customHeight="false" outlineLevel="0" collapsed="false">
      <c r="A401" s="9" t="s">
        <v>33</v>
      </c>
      <c r="B401" s="9" t="s">
        <v>19</v>
      </c>
      <c r="C401" s="10" t="s">
        <v>1547</v>
      </c>
      <c r="D401" s="10" t="s">
        <v>1551</v>
      </c>
      <c r="E401" s="10" t="s">
        <v>1326</v>
      </c>
      <c r="F401" s="9" t="n">
        <v>5555.7</v>
      </c>
      <c r="G401" s="10" t="s">
        <v>1549</v>
      </c>
    </row>
    <row r="402" customFormat="false" ht="15" hidden="false" customHeight="false" outlineLevel="0" collapsed="false">
      <c r="A402" s="9" t="s">
        <v>33</v>
      </c>
      <c r="B402" s="9" t="s">
        <v>19</v>
      </c>
      <c r="C402" s="10" t="s">
        <v>1547</v>
      </c>
      <c r="D402" s="10" t="s">
        <v>1552</v>
      </c>
      <c r="E402" s="10" t="s">
        <v>1326</v>
      </c>
      <c r="F402" s="9" t="n">
        <v>4630.5</v>
      </c>
      <c r="G402" s="10" t="s">
        <v>1549</v>
      </c>
    </row>
    <row r="403" customFormat="false" ht="15" hidden="false" customHeight="false" outlineLevel="0" collapsed="false">
      <c r="A403" s="9" t="s">
        <v>33</v>
      </c>
      <c r="B403" s="9" t="s">
        <v>19</v>
      </c>
      <c r="C403" s="10" t="s">
        <v>1547</v>
      </c>
      <c r="D403" s="10" t="s">
        <v>1553</v>
      </c>
      <c r="E403" s="10" t="s">
        <v>1326</v>
      </c>
      <c r="F403" s="9" t="n">
        <v>4073.8</v>
      </c>
      <c r="G403" s="10" t="s">
        <v>1549</v>
      </c>
    </row>
    <row r="404" customFormat="false" ht="15" hidden="false" customHeight="false" outlineLevel="0" collapsed="false">
      <c r="A404" s="9" t="s">
        <v>33</v>
      </c>
      <c r="B404" s="9" t="s">
        <v>19</v>
      </c>
      <c r="C404" s="10" t="s">
        <v>1547</v>
      </c>
      <c r="D404" s="10" t="s">
        <v>1554</v>
      </c>
      <c r="E404" s="10" t="s">
        <v>1326</v>
      </c>
      <c r="F404" s="9" t="n">
        <v>4747.3</v>
      </c>
      <c r="G404" s="10" t="s">
        <v>1555</v>
      </c>
    </row>
    <row r="405" customFormat="false" ht="15" hidden="false" customHeight="false" outlineLevel="0" collapsed="false">
      <c r="A405" s="9" t="s">
        <v>33</v>
      </c>
      <c r="B405" s="9" t="s">
        <v>19</v>
      </c>
      <c r="C405" s="10" t="s">
        <v>1547</v>
      </c>
      <c r="D405" s="10" t="s">
        <v>1556</v>
      </c>
      <c r="E405" s="10" t="s">
        <v>1326</v>
      </c>
      <c r="F405" s="9" t="n">
        <v>4664.4</v>
      </c>
      <c r="G405" s="10" t="s">
        <v>1555</v>
      </c>
    </row>
    <row r="406" customFormat="false" ht="15" hidden="false" customHeight="false" outlineLevel="0" collapsed="false">
      <c r="A406" s="9" t="s">
        <v>33</v>
      </c>
      <c r="B406" s="9" t="s">
        <v>19</v>
      </c>
      <c r="C406" s="10" t="s">
        <v>1547</v>
      </c>
      <c r="D406" s="10" t="s">
        <v>1557</v>
      </c>
      <c r="E406" s="10" t="s">
        <v>1326</v>
      </c>
      <c r="F406" s="9" t="n">
        <v>4468.9</v>
      </c>
      <c r="G406" s="10" t="s">
        <v>1555</v>
      </c>
    </row>
    <row r="407" customFormat="false" ht="15" hidden="false" customHeight="false" outlineLevel="0" collapsed="false">
      <c r="A407" s="9" t="s">
        <v>33</v>
      </c>
      <c r="B407" s="9" t="s">
        <v>19</v>
      </c>
      <c r="C407" s="10" t="s">
        <v>1547</v>
      </c>
      <c r="D407" s="10" t="s">
        <v>1558</v>
      </c>
      <c r="E407" s="10" t="s">
        <v>1326</v>
      </c>
      <c r="F407" s="9" t="n">
        <v>4792.9</v>
      </c>
      <c r="G407" s="10" t="s">
        <v>1555</v>
      </c>
    </row>
    <row r="408" customFormat="false" ht="15" hidden="false" customHeight="false" outlineLevel="0" collapsed="false">
      <c r="A408" s="9" t="s">
        <v>33</v>
      </c>
      <c r="B408" s="9" t="s">
        <v>19</v>
      </c>
      <c r="C408" s="10" t="s">
        <v>1547</v>
      </c>
      <c r="D408" s="10" t="s">
        <v>1559</v>
      </c>
      <c r="E408" s="10" t="s">
        <v>1326</v>
      </c>
      <c r="F408" s="9" t="n">
        <v>4773.7</v>
      </c>
      <c r="G408" s="10" t="s">
        <v>1555</v>
      </c>
    </row>
    <row r="409" customFormat="false" ht="15" hidden="false" customHeight="false" outlineLevel="0" collapsed="false">
      <c r="A409" s="9" t="s">
        <v>33</v>
      </c>
      <c r="B409" s="9" t="s">
        <v>19</v>
      </c>
      <c r="C409" s="10" t="s">
        <v>1547</v>
      </c>
      <c r="D409" s="10" t="s">
        <v>1560</v>
      </c>
      <c r="E409" s="10" t="s">
        <v>1326</v>
      </c>
      <c r="F409" s="9" t="n">
        <v>4902</v>
      </c>
      <c r="G409" s="10" t="s">
        <v>1555</v>
      </c>
    </row>
    <row r="410" customFormat="false" ht="15" hidden="false" customHeight="false" outlineLevel="0" collapsed="false">
      <c r="A410" s="9" t="s">
        <v>33</v>
      </c>
      <c r="B410" s="9" t="s">
        <v>19</v>
      </c>
      <c r="C410" s="10" t="s">
        <v>1547</v>
      </c>
      <c r="D410" s="10" t="s">
        <v>1561</v>
      </c>
      <c r="E410" s="10" t="s">
        <v>1326</v>
      </c>
      <c r="F410" s="9" t="n">
        <v>5200.5</v>
      </c>
      <c r="G410" s="10" t="s">
        <v>1555</v>
      </c>
    </row>
    <row r="411" customFormat="false" ht="15" hidden="false" customHeight="false" outlineLevel="0" collapsed="false">
      <c r="A411" s="9" t="s">
        <v>33</v>
      </c>
      <c r="B411" s="9" t="s">
        <v>19</v>
      </c>
      <c r="C411" s="10" t="s">
        <v>1547</v>
      </c>
      <c r="D411" s="10" t="s">
        <v>1562</v>
      </c>
      <c r="E411" s="10" t="s">
        <v>1326</v>
      </c>
      <c r="F411" s="9" t="n">
        <v>5233.9</v>
      </c>
      <c r="G411" s="10" t="s">
        <v>193</v>
      </c>
    </row>
    <row r="412" customFormat="false" ht="15" hidden="false" customHeight="false" outlineLevel="0" collapsed="false">
      <c r="A412" s="9" t="s">
        <v>33</v>
      </c>
      <c r="B412" s="9" t="s">
        <v>19</v>
      </c>
      <c r="C412" s="10" t="s">
        <v>1547</v>
      </c>
      <c r="D412" s="10" t="s">
        <v>1563</v>
      </c>
      <c r="E412" s="10" t="s">
        <v>1326</v>
      </c>
      <c r="F412" s="9" t="n">
        <v>5146.8</v>
      </c>
      <c r="G412" s="10" t="s">
        <v>193</v>
      </c>
    </row>
    <row r="413" customFormat="false" ht="15" hidden="false" customHeight="false" outlineLevel="0" collapsed="false">
      <c r="A413" s="9" t="s">
        <v>33</v>
      </c>
      <c r="B413" s="9" t="s">
        <v>19</v>
      </c>
      <c r="C413" s="10" t="s">
        <v>1547</v>
      </c>
      <c r="D413" s="10" t="s">
        <v>1564</v>
      </c>
      <c r="E413" s="10" t="s">
        <v>1326</v>
      </c>
      <c r="F413" s="9" t="n">
        <v>4672.3</v>
      </c>
      <c r="G413" s="10" t="s">
        <v>193</v>
      </c>
    </row>
    <row r="414" customFormat="false" ht="15" hidden="false" customHeight="false" outlineLevel="0" collapsed="false">
      <c r="A414" s="9" t="s">
        <v>33</v>
      </c>
      <c r="B414" s="9" t="s">
        <v>19</v>
      </c>
      <c r="C414" s="10" t="s">
        <v>1547</v>
      </c>
      <c r="D414" s="10" t="s">
        <v>1565</v>
      </c>
      <c r="E414" s="10" t="s">
        <v>1326</v>
      </c>
      <c r="F414" s="9" t="n">
        <v>4623.6</v>
      </c>
      <c r="G414" s="10" t="s">
        <v>1308</v>
      </c>
    </row>
    <row r="415" customFormat="false" ht="15" hidden="false" customHeight="false" outlineLevel="0" collapsed="false">
      <c r="A415" s="9" t="s">
        <v>33</v>
      </c>
      <c r="B415" s="9" t="s">
        <v>19</v>
      </c>
      <c r="C415" s="10" t="s">
        <v>1547</v>
      </c>
      <c r="D415" s="10" t="s">
        <v>1566</v>
      </c>
      <c r="E415" s="10" t="s">
        <v>1326</v>
      </c>
      <c r="F415" s="9" t="n">
        <v>5293.7</v>
      </c>
      <c r="G415" s="10" t="s">
        <v>1308</v>
      </c>
    </row>
    <row r="416" customFormat="false" ht="15" hidden="false" customHeight="false" outlineLevel="0" collapsed="false">
      <c r="A416" s="9" t="s">
        <v>33</v>
      </c>
      <c r="B416" s="9" t="s">
        <v>19</v>
      </c>
      <c r="C416" s="10" t="s">
        <v>1547</v>
      </c>
      <c r="D416" s="10" t="s">
        <v>1567</v>
      </c>
      <c r="E416" s="10" t="s">
        <v>1326</v>
      </c>
      <c r="F416" s="9" t="n">
        <v>5295.6</v>
      </c>
      <c r="G416" s="10" t="s">
        <v>1308</v>
      </c>
    </row>
    <row r="417" customFormat="false" ht="15" hidden="false" customHeight="false" outlineLevel="0" collapsed="false">
      <c r="A417" s="9" t="s">
        <v>33</v>
      </c>
      <c r="B417" s="9" t="s">
        <v>19</v>
      </c>
      <c r="C417" s="10" t="s">
        <v>1547</v>
      </c>
      <c r="D417" s="10" t="s">
        <v>1568</v>
      </c>
      <c r="E417" s="10" t="s">
        <v>1326</v>
      </c>
      <c r="F417" s="9" t="n">
        <v>4689.8</v>
      </c>
      <c r="G417" s="10" t="s">
        <v>1308</v>
      </c>
    </row>
    <row r="418" customFormat="false" ht="15" hidden="false" customHeight="false" outlineLevel="0" collapsed="false">
      <c r="A418" s="9" t="s">
        <v>33</v>
      </c>
      <c r="B418" s="9" t="s">
        <v>19</v>
      </c>
      <c r="C418" s="10" t="s">
        <v>1547</v>
      </c>
      <c r="D418" s="10" t="s">
        <v>1569</v>
      </c>
      <c r="E418" s="10" t="s">
        <v>1326</v>
      </c>
      <c r="F418" s="9" t="n">
        <v>4945.7</v>
      </c>
      <c r="G418" s="10" t="s">
        <v>1308</v>
      </c>
    </row>
    <row r="419" customFormat="false" ht="15" hidden="false" customHeight="false" outlineLevel="0" collapsed="false">
      <c r="A419" s="9" t="s">
        <v>33</v>
      </c>
      <c r="B419" s="9" t="s">
        <v>19</v>
      </c>
      <c r="C419" s="10" t="s">
        <v>1547</v>
      </c>
      <c r="D419" s="10" t="s">
        <v>1570</v>
      </c>
      <c r="E419" s="10" t="s">
        <v>1326</v>
      </c>
      <c r="F419" s="9" t="n">
        <v>3942.5</v>
      </c>
      <c r="G419" s="10" t="s">
        <v>786</v>
      </c>
    </row>
    <row r="420" customFormat="false" ht="15" hidden="false" customHeight="false" outlineLevel="0" collapsed="false">
      <c r="A420" s="9" t="s">
        <v>33</v>
      </c>
      <c r="B420" s="9" t="s">
        <v>19</v>
      </c>
      <c r="C420" s="10" t="s">
        <v>1547</v>
      </c>
      <c r="D420" s="10" t="s">
        <v>1571</v>
      </c>
      <c r="E420" s="10" t="s">
        <v>1326</v>
      </c>
      <c r="F420" s="9" t="n">
        <v>4691.7</v>
      </c>
      <c r="G420" s="10" t="s">
        <v>786</v>
      </c>
    </row>
    <row r="421" customFormat="false" ht="15" hidden="false" customHeight="false" outlineLevel="0" collapsed="false">
      <c r="A421" s="9" t="s">
        <v>33</v>
      </c>
      <c r="B421" s="9" t="s">
        <v>19</v>
      </c>
      <c r="C421" s="10" t="s">
        <v>1547</v>
      </c>
      <c r="D421" s="10" t="s">
        <v>1572</v>
      </c>
      <c r="E421" s="10" t="s">
        <v>1326</v>
      </c>
      <c r="F421" s="9" t="n">
        <v>3900.4</v>
      </c>
      <c r="G421" s="10" t="s">
        <v>786</v>
      </c>
    </row>
    <row r="422" customFormat="false" ht="15" hidden="false" customHeight="false" outlineLevel="0" collapsed="false">
      <c r="A422" s="9" t="s">
        <v>33</v>
      </c>
      <c r="B422" s="9" t="s">
        <v>19</v>
      </c>
      <c r="C422" s="10" t="s">
        <v>1547</v>
      </c>
      <c r="D422" s="10" t="s">
        <v>1573</v>
      </c>
      <c r="E422" s="10" t="s">
        <v>1326</v>
      </c>
      <c r="F422" s="9" t="n">
        <v>4518.3</v>
      </c>
      <c r="G422" s="10" t="s">
        <v>786</v>
      </c>
    </row>
    <row r="423" customFormat="false" ht="15" hidden="false" customHeight="false" outlineLevel="0" collapsed="false">
      <c r="A423" s="9" t="s">
        <v>33</v>
      </c>
      <c r="B423" s="9" t="s">
        <v>19</v>
      </c>
      <c r="C423" s="10" t="s">
        <v>1547</v>
      </c>
      <c r="D423" s="10" t="s">
        <v>1574</v>
      </c>
      <c r="E423" s="10" t="s">
        <v>1326</v>
      </c>
      <c r="F423" s="9" t="n">
        <v>4643.9</v>
      </c>
      <c r="G423" s="10" t="s">
        <v>786</v>
      </c>
    </row>
    <row r="424" customFormat="false" ht="15" hidden="false" customHeight="false" outlineLevel="0" collapsed="false">
      <c r="A424" s="9" t="s">
        <v>33</v>
      </c>
      <c r="B424" s="9" t="s">
        <v>19</v>
      </c>
      <c r="C424" s="10" t="s">
        <v>1547</v>
      </c>
      <c r="D424" s="10" t="s">
        <v>1575</v>
      </c>
      <c r="E424" s="10" t="s">
        <v>1326</v>
      </c>
      <c r="F424" s="9" t="n">
        <v>4601.4</v>
      </c>
      <c r="G424" s="10" t="s">
        <v>786</v>
      </c>
    </row>
    <row r="425" customFormat="false" ht="15" hidden="false" customHeight="false" outlineLevel="0" collapsed="false">
      <c r="A425" s="9" t="s">
        <v>33</v>
      </c>
      <c r="B425" s="9" t="s">
        <v>19</v>
      </c>
      <c r="C425" s="10" t="s">
        <v>1547</v>
      </c>
      <c r="D425" s="10" t="s">
        <v>1576</v>
      </c>
      <c r="E425" s="10" t="s">
        <v>1326</v>
      </c>
      <c r="F425" s="9" t="n">
        <v>5089.1</v>
      </c>
      <c r="G425" s="10" t="s">
        <v>786</v>
      </c>
    </row>
    <row r="426" customFormat="false" ht="15" hidden="false" customHeight="false" outlineLevel="0" collapsed="false">
      <c r="A426" s="9" t="s">
        <v>33</v>
      </c>
      <c r="B426" s="9" t="s">
        <v>19</v>
      </c>
      <c r="C426" s="10" t="s">
        <v>1547</v>
      </c>
      <c r="D426" s="10" t="s">
        <v>1577</v>
      </c>
      <c r="E426" s="10" t="s">
        <v>1326</v>
      </c>
      <c r="F426" s="9" t="n">
        <v>5891.6</v>
      </c>
      <c r="G426" s="10" t="s">
        <v>786</v>
      </c>
    </row>
    <row r="427" customFormat="false" ht="15" hidden="false" customHeight="false" outlineLevel="0" collapsed="false">
      <c r="A427" s="9" t="s">
        <v>33</v>
      </c>
      <c r="B427" s="9" t="s">
        <v>19</v>
      </c>
      <c r="C427" s="10" t="s">
        <v>1547</v>
      </c>
      <c r="D427" s="10" t="s">
        <v>1578</v>
      </c>
      <c r="E427" s="10" t="s">
        <v>1326</v>
      </c>
      <c r="F427" s="9" t="n">
        <v>5409.3</v>
      </c>
      <c r="G427" s="10" t="s">
        <v>786</v>
      </c>
    </row>
    <row r="428" customFormat="false" ht="15" hidden="false" customHeight="false" outlineLevel="0" collapsed="false">
      <c r="A428" s="9" t="s">
        <v>33</v>
      </c>
      <c r="B428" s="9" t="s">
        <v>19</v>
      </c>
      <c r="C428" s="10" t="s">
        <v>1547</v>
      </c>
      <c r="D428" s="10" t="s">
        <v>1579</v>
      </c>
      <c r="E428" s="10" t="s">
        <v>1326</v>
      </c>
      <c r="F428" s="9" t="n">
        <v>4866.8</v>
      </c>
      <c r="G428" s="10" t="s">
        <v>786</v>
      </c>
    </row>
    <row r="429" customFormat="false" ht="15" hidden="false" customHeight="false" outlineLevel="0" collapsed="false">
      <c r="A429" s="9" t="s">
        <v>33</v>
      </c>
      <c r="B429" s="9" t="s">
        <v>19</v>
      </c>
      <c r="C429" s="10" t="s">
        <v>1547</v>
      </c>
      <c r="D429" s="10" t="s">
        <v>1580</v>
      </c>
      <c r="E429" s="10" t="s">
        <v>1326</v>
      </c>
      <c r="F429" s="9" t="n">
        <v>4139.8</v>
      </c>
      <c r="G429" s="10" t="s">
        <v>786</v>
      </c>
    </row>
    <row r="430" customFormat="false" ht="15" hidden="false" customHeight="false" outlineLevel="0" collapsed="false">
      <c r="A430" s="9" t="s">
        <v>33</v>
      </c>
      <c r="B430" s="9" t="s">
        <v>19</v>
      </c>
      <c r="C430" s="10" t="s">
        <v>1547</v>
      </c>
      <c r="D430" s="10" t="s">
        <v>1581</v>
      </c>
      <c r="E430" s="10" t="s">
        <v>1326</v>
      </c>
      <c r="F430" s="9" t="n">
        <v>5003.3</v>
      </c>
      <c r="G430" s="10" t="s">
        <v>786</v>
      </c>
    </row>
    <row r="431" customFormat="false" ht="15" hidden="false" customHeight="false" outlineLevel="0" collapsed="false">
      <c r="A431" s="9" t="s">
        <v>33</v>
      </c>
      <c r="B431" s="9" t="s">
        <v>19</v>
      </c>
      <c r="C431" s="10" t="s">
        <v>1547</v>
      </c>
      <c r="D431" s="10" t="s">
        <v>1582</v>
      </c>
      <c r="E431" s="10" t="s">
        <v>1326</v>
      </c>
      <c r="F431" s="9" t="n">
        <v>5150.6</v>
      </c>
      <c r="G431" s="10" t="s">
        <v>786</v>
      </c>
    </row>
    <row r="432" customFormat="false" ht="15" hidden="false" customHeight="false" outlineLevel="0" collapsed="false">
      <c r="A432" s="9" t="s">
        <v>33</v>
      </c>
      <c r="B432" s="9" t="s">
        <v>19</v>
      </c>
      <c r="C432" s="10" t="s">
        <v>1547</v>
      </c>
      <c r="D432" s="10" t="s">
        <v>1583</v>
      </c>
      <c r="E432" s="10" t="s">
        <v>1326</v>
      </c>
      <c r="F432" s="9" t="n">
        <v>4997.8</v>
      </c>
      <c r="G432" s="10" t="s">
        <v>786</v>
      </c>
    </row>
    <row r="433" customFormat="false" ht="15" hidden="false" customHeight="false" outlineLevel="0" collapsed="false">
      <c r="A433" s="9" t="s">
        <v>33</v>
      </c>
      <c r="B433" s="9" t="s">
        <v>19</v>
      </c>
      <c r="C433" s="10" t="s">
        <v>1547</v>
      </c>
      <c r="D433" s="10" t="s">
        <v>1584</v>
      </c>
      <c r="E433" s="10" t="s">
        <v>1326</v>
      </c>
      <c r="F433" s="9" t="n">
        <v>5124.5</v>
      </c>
      <c r="G433" s="10" t="s">
        <v>1585</v>
      </c>
    </row>
    <row r="434" customFormat="false" ht="15" hidden="false" customHeight="false" outlineLevel="0" collapsed="false">
      <c r="A434" s="9" t="s">
        <v>33</v>
      </c>
      <c r="B434" s="9" t="s">
        <v>19</v>
      </c>
      <c r="C434" s="10" t="s">
        <v>1547</v>
      </c>
      <c r="D434" s="10" t="s">
        <v>1586</v>
      </c>
      <c r="E434" s="10" t="s">
        <v>1326</v>
      </c>
      <c r="F434" s="9" t="n">
        <v>4141.9</v>
      </c>
      <c r="G434" s="10" t="s">
        <v>1585</v>
      </c>
    </row>
    <row r="435" customFormat="false" ht="15" hidden="false" customHeight="false" outlineLevel="0" collapsed="false">
      <c r="A435" s="9" t="s">
        <v>33</v>
      </c>
      <c r="B435" s="9" t="s">
        <v>19</v>
      </c>
      <c r="C435" s="10" t="s">
        <v>1547</v>
      </c>
      <c r="D435" s="10" t="s">
        <v>1587</v>
      </c>
      <c r="E435" s="10" t="s">
        <v>1326</v>
      </c>
      <c r="F435" s="9" t="n">
        <v>4821.1</v>
      </c>
      <c r="G435" s="10" t="s">
        <v>1585</v>
      </c>
    </row>
    <row r="436" customFormat="false" ht="15" hidden="false" customHeight="false" outlineLevel="0" collapsed="false">
      <c r="A436" s="9" t="s">
        <v>33</v>
      </c>
      <c r="B436" s="9" t="s">
        <v>19</v>
      </c>
      <c r="C436" s="10" t="s">
        <v>1547</v>
      </c>
      <c r="D436" s="10" t="s">
        <v>1588</v>
      </c>
      <c r="E436" s="10" t="s">
        <v>1326</v>
      </c>
      <c r="F436" s="9" t="n">
        <v>4572.8</v>
      </c>
      <c r="G436" s="10" t="s">
        <v>1585</v>
      </c>
    </row>
    <row r="437" customFormat="false" ht="15" hidden="false" customHeight="false" outlineLevel="0" collapsed="false">
      <c r="A437" s="9" t="s">
        <v>33</v>
      </c>
      <c r="B437" s="9" t="s">
        <v>19</v>
      </c>
      <c r="C437" s="10" t="s">
        <v>1547</v>
      </c>
      <c r="D437" s="10" t="s">
        <v>1589</v>
      </c>
      <c r="E437" s="10" t="s">
        <v>1326</v>
      </c>
      <c r="F437" s="9" t="n">
        <v>4926.7</v>
      </c>
      <c r="G437" s="10" t="s">
        <v>1585</v>
      </c>
    </row>
    <row r="438" customFormat="false" ht="15" hidden="false" customHeight="false" outlineLevel="0" collapsed="false">
      <c r="A438" s="9" t="s">
        <v>33</v>
      </c>
      <c r="B438" s="9" t="s">
        <v>19</v>
      </c>
      <c r="C438" s="10" t="s">
        <v>1547</v>
      </c>
      <c r="D438" s="10" t="s">
        <v>1590</v>
      </c>
      <c r="E438" s="10" t="s">
        <v>1326</v>
      </c>
      <c r="F438" s="9" t="n">
        <v>4335</v>
      </c>
      <c r="G438" s="10" t="s">
        <v>1585</v>
      </c>
    </row>
    <row r="439" customFormat="false" ht="15" hidden="false" customHeight="false" outlineLevel="0" collapsed="false">
      <c r="A439" s="9" t="s">
        <v>33</v>
      </c>
      <c r="B439" s="9" t="s">
        <v>19</v>
      </c>
      <c r="C439" s="10" t="s">
        <v>1547</v>
      </c>
      <c r="D439" s="10" t="s">
        <v>1591</v>
      </c>
      <c r="E439" s="10" t="s">
        <v>1326</v>
      </c>
      <c r="F439" s="9" t="n">
        <v>4935.4</v>
      </c>
      <c r="G439" s="10" t="s">
        <v>1592</v>
      </c>
    </row>
    <row r="440" customFormat="false" ht="15" hidden="false" customHeight="false" outlineLevel="0" collapsed="false">
      <c r="A440" s="9" t="s">
        <v>33</v>
      </c>
      <c r="B440" s="9" t="s">
        <v>19</v>
      </c>
      <c r="C440" s="10" t="s">
        <v>1547</v>
      </c>
      <c r="D440" s="10" t="s">
        <v>1593</v>
      </c>
      <c r="E440" s="10" t="s">
        <v>1326</v>
      </c>
      <c r="F440" s="9" t="n">
        <v>5124.1</v>
      </c>
      <c r="G440" s="10" t="s">
        <v>1592</v>
      </c>
    </row>
    <row r="441" customFormat="false" ht="15" hidden="false" customHeight="false" outlineLevel="0" collapsed="false">
      <c r="A441" s="9" t="s">
        <v>33</v>
      </c>
      <c r="B441" s="9" t="s">
        <v>19</v>
      </c>
      <c r="C441" s="10" t="s">
        <v>1547</v>
      </c>
      <c r="D441" s="10" t="s">
        <v>1594</v>
      </c>
      <c r="E441" s="10" t="s">
        <v>1326</v>
      </c>
      <c r="F441" s="9" t="n">
        <v>4398.6</v>
      </c>
      <c r="G441" s="10" t="s">
        <v>1592</v>
      </c>
    </row>
    <row r="442" customFormat="false" ht="15" hidden="false" customHeight="false" outlineLevel="0" collapsed="false">
      <c r="A442" s="9" t="s">
        <v>33</v>
      </c>
      <c r="B442" s="9" t="s">
        <v>19</v>
      </c>
      <c r="C442" s="10" t="s">
        <v>1547</v>
      </c>
      <c r="D442" s="10" t="s">
        <v>1595</v>
      </c>
      <c r="E442" s="10" t="s">
        <v>1326</v>
      </c>
      <c r="F442" s="9" t="n">
        <v>5245.2</v>
      </c>
      <c r="G442" s="10" t="s">
        <v>1592</v>
      </c>
    </row>
    <row r="443" customFormat="false" ht="15" hidden="false" customHeight="false" outlineLevel="0" collapsed="false">
      <c r="A443" s="9" t="s">
        <v>33</v>
      </c>
      <c r="B443" s="9" t="s">
        <v>19</v>
      </c>
      <c r="C443" s="10" t="s">
        <v>1547</v>
      </c>
      <c r="D443" s="10" t="s">
        <v>1596</v>
      </c>
      <c r="E443" s="10" t="s">
        <v>1326</v>
      </c>
      <c r="F443" s="9" t="n">
        <v>4334.6</v>
      </c>
      <c r="G443" s="10" t="s">
        <v>1592</v>
      </c>
    </row>
    <row r="444" customFormat="false" ht="15" hidden="false" customHeight="false" outlineLevel="0" collapsed="false">
      <c r="A444" s="9" t="s">
        <v>33</v>
      </c>
      <c r="B444" s="9" t="s">
        <v>19</v>
      </c>
      <c r="C444" s="10" t="s">
        <v>1547</v>
      </c>
      <c r="D444" s="10" t="s">
        <v>1597</v>
      </c>
      <c r="E444" s="10" t="s">
        <v>1326</v>
      </c>
      <c r="F444" s="9" t="n">
        <v>4368.1</v>
      </c>
      <c r="G444" s="10" t="s">
        <v>1592</v>
      </c>
    </row>
    <row r="445" customFormat="false" ht="15" hidden="false" customHeight="false" outlineLevel="0" collapsed="false">
      <c r="A445" s="9" t="s">
        <v>33</v>
      </c>
      <c r="B445" s="9" t="s">
        <v>19</v>
      </c>
      <c r="C445" s="10" t="s">
        <v>1547</v>
      </c>
      <c r="D445" s="10" t="s">
        <v>1598</v>
      </c>
      <c r="E445" s="10" t="s">
        <v>1326</v>
      </c>
      <c r="F445" s="9" t="n">
        <v>3862.2</v>
      </c>
      <c r="G445" s="10" t="s">
        <v>1592</v>
      </c>
    </row>
    <row r="446" customFormat="false" ht="15" hidden="false" customHeight="false" outlineLevel="0" collapsed="false">
      <c r="A446" s="9" t="s">
        <v>33</v>
      </c>
      <c r="B446" s="9" t="s">
        <v>19</v>
      </c>
      <c r="C446" s="10" t="s">
        <v>1547</v>
      </c>
      <c r="D446" s="10" t="s">
        <v>1599</v>
      </c>
      <c r="E446" s="10" t="s">
        <v>1326</v>
      </c>
      <c r="F446" s="9" t="n">
        <v>4322.5</v>
      </c>
      <c r="G446" s="10" t="s">
        <v>1592</v>
      </c>
    </row>
    <row r="447" customFormat="false" ht="15" hidden="false" customHeight="false" outlineLevel="0" collapsed="false">
      <c r="A447" s="9" t="s">
        <v>33</v>
      </c>
      <c r="B447" s="9" t="s">
        <v>19</v>
      </c>
      <c r="C447" s="10" t="s">
        <v>1547</v>
      </c>
      <c r="D447" s="10" t="s">
        <v>1600</v>
      </c>
      <c r="E447" s="10" t="s">
        <v>1326</v>
      </c>
      <c r="F447" s="9" t="n">
        <v>4024</v>
      </c>
      <c r="G447" s="10" t="s">
        <v>1592</v>
      </c>
    </row>
    <row r="448" customFormat="false" ht="15" hidden="false" customHeight="false" outlineLevel="0" collapsed="false">
      <c r="A448" s="9" t="s">
        <v>33</v>
      </c>
      <c r="B448" s="9" t="s">
        <v>19</v>
      </c>
      <c r="C448" s="10" t="s">
        <v>1547</v>
      </c>
      <c r="D448" s="10" t="s">
        <v>1601</v>
      </c>
      <c r="E448" s="10" t="s">
        <v>1326</v>
      </c>
      <c r="F448" s="9" t="n">
        <v>5255.5</v>
      </c>
      <c r="G448" s="10" t="s">
        <v>1602</v>
      </c>
    </row>
    <row r="449" customFormat="false" ht="15" hidden="false" customHeight="false" outlineLevel="0" collapsed="false">
      <c r="A449" s="9" t="s">
        <v>33</v>
      </c>
      <c r="B449" s="9" t="s">
        <v>19</v>
      </c>
      <c r="C449" s="10" t="s">
        <v>1547</v>
      </c>
      <c r="D449" s="10" t="s">
        <v>1603</v>
      </c>
      <c r="E449" s="10" t="s">
        <v>1326</v>
      </c>
      <c r="F449" s="9" t="n">
        <v>4664.5</v>
      </c>
      <c r="G449" s="10" t="s">
        <v>1602</v>
      </c>
    </row>
    <row r="450" customFormat="false" ht="15" hidden="false" customHeight="false" outlineLevel="0" collapsed="false">
      <c r="A450" s="9" t="s">
        <v>33</v>
      </c>
      <c r="B450" s="9" t="s">
        <v>19</v>
      </c>
      <c r="C450" s="10" t="s">
        <v>1547</v>
      </c>
      <c r="D450" s="10" t="s">
        <v>1604</v>
      </c>
      <c r="E450" s="10" t="s">
        <v>1326</v>
      </c>
      <c r="F450" s="9" t="n">
        <v>4769.3</v>
      </c>
      <c r="G450" s="10" t="s">
        <v>1602</v>
      </c>
    </row>
    <row r="451" customFormat="false" ht="15" hidden="false" customHeight="false" outlineLevel="0" collapsed="false">
      <c r="A451" s="9" t="s">
        <v>33</v>
      </c>
      <c r="B451" s="9" t="s">
        <v>19</v>
      </c>
      <c r="C451" s="10" t="s">
        <v>1547</v>
      </c>
      <c r="D451" s="10" t="s">
        <v>1605</v>
      </c>
      <c r="E451" s="10" t="s">
        <v>1326</v>
      </c>
      <c r="F451" s="9" t="n">
        <v>4871</v>
      </c>
      <c r="G451" s="10" t="s">
        <v>1602</v>
      </c>
    </row>
    <row r="452" customFormat="false" ht="15" hidden="false" customHeight="false" outlineLevel="0" collapsed="false">
      <c r="A452" s="9" t="s">
        <v>33</v>
      </c>
      <c r="B452" s="9" t="s">
        <v>19</v>
      </c>
      <c r="C452" s="10" t="s">
        <v>1547</v>
      </c>
      <c r="D452" s="10" t="s">
        <v>1606</v>
      </c>
      <c r="E452" s="10" t="s">
        <v>1326</v>
      </c>
      <c r="F452" s="9" t="n">
        <v>4534</v>
      </c>
      <c r="G452" s="10" t="s">
        <v>1602</v>
      </c>
    </row>
    <row r="453" customFormat="false" ht="15" hidden="false" customHeight="false" outlineLevel="0" collapsed="false">
      <c r="A453" s="9" t="s">
        <v>33</v>
      </c>
      <c r="B453" s="9" t="s">
        <v>19</v>
      </c>
      <c r="C453" s="10" t="s">
        <v>1547</v>
      </c>
      <c r="D453" s="10" t="s">
        <v>1607</v>
      </c>
      <c r="E453" s="10" t="s">
        <v>1326</v>
      </c>
      <c r="F453" s="9" t="n">
        <v>3891.7</v>
      </c>
      <c r="G453" s="10" t="s">
        <v>1608</v>
      </c>
    </row>
    <row r="454" customFormat="false" ht="15" hidden="false" customHeight="false" outlineLevel="0" collapsed="false">
      <c r="A454" s="9" t="s">
        <v>33</v>
      </c>
      <c r="B454" s="9" t="s">
        <v>19</v>
      </c>
      <c r="C454" s="10" t="s">
        <v>1547</v>
      </c>
      <c r="D454" s="10" t="s">
        <v>1609</v>
      </c>
      <c r="E454" s="10" t="s">
        <v>1326</v>
      </c>
      <c r="F454" s="9" t="n">
        <v>4165.9</v>
      </c>
      <c r="G454" s="10" t="s">
        <v>1608</v>
      </c>
    </row>
    <row r="455" customFormat="false" ht="15" hidden="false" customHeight="false" outlineLevel="0" collapsed="false">
      <c r="A455" s="9" t="s">
        <v>33</v>
      </c>
      <c r="B455" s="9" t="s">
        <v>19</v>
      </c>
      <c r="C455" s="10" t="s">
        <v>1547</v>
      </c>
      <c r="D455" s="10" t="s">
        <v>1610</v>
      </c>
      <c r="E455" s="10" t="s">
        <v>1326</v>
      </c>
      <c r="F455" s="9" t="n">
        <v>4366.3</v>
      </c>
      <c r="G455" s="10" t="s">
        <v>1608</v>
      </c>
    </row>
    <row r="456" customFormat="false" ht="15" hidden="false" customHeight="false" outlineLevel="0" collapsed="false">
      <c r="A456" s="9" t="s">
        <v>33</v>
      </c>
      <c r="B456" s="9" t="s">
        <v>19</v>
      </c>
      <c r="C456" s="10" t="s">
        <v>1547</v>
      </c>
      <c r="D456" s="10" t="s">
        <v>1611</v>
      </c>
      <c r="E456" s="10" t="s">
        <v>1326</v>
      </c>
      <c r="F456" s="9" t="n">
        <v>3620.3</v>
      </c>
      <c r="G456" s="10" t="s">
        <v>1608</v>
      </c>
    </row>
    <row r="457" customFormat="false" ht="15" hidden="false" customHeight="false" outlineLevel="0" collapsed="false">
      <c r="A457" s="9" t="s">
        <v>33</v>
      </c>
      <c r="B457" s="9" t="s">
        <v>19</v>
      </c>
      <c r="C457" s="10" t="s">
        <v>1547</v>
      </c>
      <c r="D457" s="10" t="s">
        <v>1612</v>
      </c>
      <c r="E457" s="10" t="s">
        <v>1326</v>
      </c>
      <c r="F457" s="9" t="n">
        <v>3760</v>
      </c>
      <c r="G457" s="10" t="s">
        <v>1608</v>
      </c>
    </row>
    <row r="458" customFormat="false" ht="15" hidden="false" customHeight="false" outlineLevel="0" collapsed="false">
      <c r="A458" s="9" t="s">
        <v>33</v>
      </c>
      <c r="B458" s="9" t="s">
        <v>19</v>
      </c>
      <c r="C458" s="10" t="s">
        <v>1547</v>
      </c>
      <c r="D458" s="10" t="s">
        <v>1613</v>
      </c>
      <c r="E458" s="10" t="s">
        <v>1326</v>
      </c>
      <c r="F458" s="9" t="n">
        <v>3828.5</v>
      </c>
      <c r="G458" s="10" t="s">
        <v>1608</v>
      </c>
    </row>
    <row r="459" customFormat="false" ht="15" hidden="false" customHeight="false" outlineLevel="0" collapsed="false">
      <c r="A459" s="9" t="s">
        <v>33</v>
      </c>
      <c r="B459" s="9" t="s">
        <v>19</v>
      </c>
      <c r="C459" s="10" t="s">
        <v>1547</v>
      </c>
      <c r="D459" s="10" t="s">
        <v>1614</v>
      </c>
      <c r="E459" s="10" t="s">
        <v>1326</v>
      </c>
      <c r="F459" s="9" t="n">
        <v>3947.3</v>
      </c>
      <c r="G459" s="10" t="s">
        <v>1608</v>
      </c>
    </row>
    <row r="460" customFormat="false" ht="15" hidden="false" customHeight="false" outlineLevel="0" collapsed="false">
      <c r="A460" s="9" t="s">
        <v>33</v>
      </c>
      <c r="B460" s="9" t="s">
        <v>26</v>
      </c>
      <c r="C460" s="10" t="s">
        <v>1615</v>
      </c>
      <c r="D460" s="10" t="s">
        <v>1616</v>
      </c>
      <c r="E460" s="10" t="s">
        <v>1326</v>
      </c>
      <c r="F460" s="9" t="n">
        <v>202</v>
      </c>
      <c r="G460" s="10" t="s">
        <v>1617</v>
      </c>
    </row>
    <row r="461" customFormat="false" ht="15" hidden="false" customHeight="false" outlineLevel="0" collapsed="false">
      <c r="A461" s="9" t="s">
        <v>33</v>
      </c>
      <c r="B461" s="9" t="s">
        <v>26</v>
      </c>
      <c r="C461" s="10" t="s">
        <v>1615</v>
      </c>
      <c r="D461" s="10" t="s">
        <v>1618</v>
      </c>
      <c r="E461" s="10" t="s">
        <v>1326</v>
      </c>
      <c r="F461" s="9" t="n">
        <v>161.6</v>
      </c>
      <c r="G461" s="10" t="s">
        <v>1617</v>
      </c>
    </row>
    <row r="462" customFormat="false" ht="15" hidden="false" customHeight="false" outlineLevel="0" collapsed="false">
      <c r="A462" s="9" t="s">
        <v>33</v>
      </c>
      <c r="B462" s="9" t="s">
        <v>22</v>
      </c>
      <c r="C462" s="10" t="s">
        <v>1615</v>
      </c>
      <c r="D462" s="10" t="s">
        <v>1619</v>
      </c>
      <c r="E462" s="10" t="s">
        <v>1326</v>
      </c>
      <c r="F462" s="9" t="n">
        <v>147.1</v>
      </c>
      <c r="G462" s="10" t="s">
        <v>1617</v>
      </c>
    </row>
    <row r="463" customFormat="false" ht="15" hidden="false" customHeight="false" outlineLevel="0" collapsed="false">
      <c r="A463" s="9" t="s">
        <v>33</v>
      </c>
      <c r="B463" s="9" t="s">
        <v>22</v>
      </c>
      <c r="C463" s="10" t="s">
        <v>1615</v>
      </c>
      <c r="D463" s="10" t="s">
        <v>1620</v>
      </c>
      <c r="E463" s="10" t="s">
        <v>1326</v>
      </c>
      <c r="F463" s="9" t="n">
        <v>106.9</v>
      </c>
      <c r="G463" s="10" t="s">
        <v>1617</v>
      </c>
    </row>
    <row r="464" customFormat="false" ht="15" hidden="false" customHeight="false" outlineLevel="0" collapsed="false">
      <c r="A464" s="9" t="s">
        <v>33</v>
      </c>
      <c r="B464" s="9" t="s">
        <v>22</v>
      </c>
      <c r="C464" s="10" t="s">
        <v>1615</v>
      </c>
      <c r="D464" s="10" t="s">
        <v>1621</v>
      </c>
      <c r="E464" s="10" t="s">
        <v>1326</v>
      </c>
      <c r="F464" s="9" t="n">
        <v>221.7</v>
      </c>
      <c r="G464" s="10" t="s">
        <v>1617</v>
      </c>
    </row>
    <row r="465" customFormat="false" ht="15" hidden="false" customHeight="false" outlineLevel="0" collapsed="false">
      <c r="A465" s="9" t="s">
        <v>33</v>
      </c>
      <c r="B465" s="9" t="s">
        <v>22</v>
      </c>
      <c r="C465" s="10" t="s">
        <v>1615</v>
      </c>
      <c r="D465" s="10" t="s">
        <v>1622</v>
      </c>
      <c r="E465" s="10" t="s">
        <v>1326</v>
      </c>
      <c r="F465" s="9" t="n">
        <v>193.3</v>
      </c>
      <c r="G465" s="10" t="s">
        <v>1617</v>
      </c>
    </row>
    <row r="466" customFormat="false" ht="15" hidden="false" customHeight="false" outlineLevel="0" collapsed="false">
      <c r="A466" s="9" t="s">
        <v>33</v>
      </c>
      <c r="B466" s="9" t="s">
        <v>22</v>
      </c>
      <c r="C466" s="10" t="s">
        <v>1615</v>
      </c>
      <c r="D466" s="10" t="s">
        <v>1623</v>
      </c>
      <c r="E466" s="10" t="s">
        <v>1326</v>
      </c>
      <c r="F466" s="9" t="n">
        <v>166.1</v>
      </c>
      <c r="G466" s="10" t="s">
        <v>1617</v>
      </c>
    </row>
    <row r="467" customFormat="false" ht="15" hidden="false" customHeight="false" outlineLevel="0" collapsed="false">
      <c r="A467" s="9" t="s">
        <v>33</v>
      </c>
      <c r="B467" s="9" t="s">
        <v>22</v>
      </c>
      <c r="C467" s="10" t="s">
        <v>1615</v>
      </c>
      <c r="D467" s="10" t="s">
        <v>1624</v>
      </c>
      <c r="E467" s="10" t="s">
        <v>1326</v>
      </c>
      <c r="F467" s="9" t="n">
        <v>177.9</v>
      </c>
      <c r="G467" s="10" t="s">
        <v>1617</v>
      </c>
    </row>
    <row r="468" customFormat="false" ht="15" hidden="false" customHeight="false" outlineLevel="0" collapsed="false">
      <c r="A468" s="9" t="s">
        <v>33</v>
      </c>
      <c r="B468" s="9" t="s">
        <v>22</v>
      </c>
      <c r="C468" s="10" t="s">
        <v>1615</v>
      </c>
      <c r="D468" s="10" t="s">
        <v>1625</v>
      </c>
      <c r="E468" s="10" t="s">
        <v>1326</v>
      </c>
      <c r="F468" s="9" t="n">
        <v>164</v>
      </c>
      <c r="G468" s="10" t="s">
        <v>1617</v>
      </c>
    </row>
    <row r="469" customFormat="false" ht="15" hidden="false" customHeight="false" outlineLevel="0" collapsed="false">
      <c r="A469" s="9" t="s">
        <v>33</v>
      </c>
      <c r="B469" s="9" t="s">
        <v>22</v>
      </c>
      <c r="C469" s="10" t="s">
        <v>1615</v>
      </c>
      <c r="D469" s="10" t="s">
        <v>1626</v>
      </c>
      <c r="E469" s="10" t="s">
        <v>1326</v>
      </c>
      <c r="F469" s="9" t="n">
        <v>167.8</v>
      </c>
      <c r="G469" s="10" t="s">
        <v>1617</v>
      </c>
    </row>
    <row r="470" customFormat="false" ht="15" hidden="false" customHeight="false" outlineLevel="0" collapsed="false">
      <c r="A470" s="9" t="s">
        <v>33</v>
      </c>
      <c r="B470" s="9" t="s">
        <v>22</v>
      </c>
      <c r="C470" s="10" t="s">
        <v>1615</v>
      </c>
      <c r="D470" s="10" t="s">
        <v>1627</v>
      </c>
      <c r="E470" s="10" t="s">
        <v>1326</v>
      </c>
      <c r="F470" s="9" t="n">
        <v>160.4</v>
      </c>
      <c r="G470" s="10" t="s">
        <v>1617</v>
      </c>
    </row>
    <row r="471" customFormat="false" ht="15" hidden="false" customHeight="false" outlineLevel="0" collapsed="false">
      <c r="A471" s="9" t="s">
        <v>33</v>
      </c>
      <c r="B471" s="9" t="s">
        <v>22</v>
      </c>
      <c r="C471" s="10" t="s">
        <v>1615</v>
      </c>
      <c r="D471" s="10" t="s">
        <v>1628</v>
      </c>
      <c r="E471" s="10" t="s">
        <v>1326</v>
      </c>
      <c r="F471" s="9" t="n">
        <v>210</v>
      </c>
      <c r="G471" s="10" t="s">
        <v>1617</v>
      </c>
    </row>
    <row r="472" customFormat="false" ht="15" hidden="false" customHeight="false" outlineLevel="0" collapsed="false">
      <c r="A472" s="9" t="s">
        <v>33</v>
      </c>
      <c r="B472" s="9" t="s">
        <v>22</v>
      </c>
      <c r="C472" s="10" t="s">
        <v>1615</v>
      </c>
      <c r="D472" s="10" t="s">
        <v>1629</v>
      </c>
      <c r="E472" s="10" t="s">
        <v>1326</v>
      </c>
      <c r="F472" s="9" t="n">
        <v>100.3</v>
      </c>
      <c r="G472" s="10" t="s">
        <v>1617</v>
      </c>
    </row>
    <row r="473" customFormat="false" ht="15" hidden="false" customHeight="false" outlineLevel="0" collapsed="false">
      <c r="A473" s="9" t="s">
        <v>33</v>
      </c>
      <c r="B473" s="9" t="s">
        <v>22</v>
      </c>
      <c r="C473" s="10" t="s">
        <v>1615</v>
      </c>
      <c r="D473" s="10" t="s">
        <v>1630</v>
      </c>
      <c r="E473" s="10" t="s">
        <v>1326</v>
      </c>
      <c r="F473" s="9" t="n">
        <v>204.5</v>
      </c>
      <c r="G473" s="10" t="s">
        <v>1617</v>
      </c>
    </row>
    <row r="474" customFormat="false" ht="15" hidden="false" customHeight="false" outlineLevel="0" collapsed="false">
      <c r="A474" s="9" t="s">
        <v>33</v>
      </c>
      <c r="B474" s="9" t="s">
        <v>22</v>
      </c>
      <c r="C474" s="10" t="s">
        <v>1615</v>
      </c>
      <c r="D474" s="10" t="s">
        <v>1631</v>
      </c>
      <c r="E474" s="10" t="s">
        <v>1326</v>
      </c>
      <c r="F474" s="9" t="n">
        <v>45.5</v>
      </c>
      <c r="G474" s="10" t="s">
        <v>1617</v>
      </c>
    </row>
    <row r="475" customFormat="false" ht="15" hidden="false" customHeight="false" outlineLevel="0" collapsed="false">
      <c r="A475" s="9" t="s">
        <v>33</v>
      </c>
      <c r="B475" s="9" t="s">
        <v>22</v>
      </c>
      <c r="C475" s="10" t="s">
        <v>1615</v>
      </c>
      <c r="D475" s="10" t="s">
        <v>1632</v>
      </c>
      <c r="E475" s="10" t="s">
        <v>1326</v>
      </c>
      <c r="F475" s="9" t="n">
        <v>149.1</v>
      </c>
      <c r="G475" s="10" t="s">
        <v>1617</v>
      </c>
    </row>
    <row r="476" customFormat="false" ht="15" hidden="false" customHeight="false" outlineLevel="0" collapsed="false">
      <c r="A476" s="9" t="s">
        <v>33</v>
      </c>
      <c r="B476" s="9" t="s">
        <v>22</v>
      </c>
      <c r="C476" s="10" t="s">
        <v>1615</v>
      </c>
      <c r="D476" s="10" t="s">
        <v>1633</v>
      </c>
      <c r="E476" s="10" t="s">
        <v>1326</v>
      </c>
      <c r="F476" s="9" t="n">
        <v>60.9</v>
      </c>
      <c r="G476" s="10" t="s">
        <v>1617</v>
      </c>
    </row>
    <row r="477" customFormat="false" ht="15" hidden="false" customHeight="false" outlineLevel="0" collapsed="false">
      <c r="A477" s="9" t="s">
        <v>33</v>
      </c>
      <c r="B477" s="9" t="s">
        <v>22</v>
      </c>
      <c r="C477" s="10" t="s">
        <v>1615</v>
      </c>
      <c r="D477" s="10" t="s">
        <v>1634</v>
      </c>
      <c r="E477" s="10" t="s">
        <v>1326</v>
      </c>
      <c r="F477" s="9" t="n">
        <v>147.4</v>
      </c>
      <c r="G477" s="10" t="s">
        <v>1617</v>
      </c>
    </row>
    <row r="478" customFormat="false" ht="15" hidden="false" customHeight="false" outlineLevel="0" collapsed="false">
      <c r="A478" s="9" t="s">
        <v>33</v>
      </c>
      <c r="B478" s="9" t="s">
        <v>25</v>
      </c>
      <c r="C478" s="10" t="s">
        <v>461</v>
      </c>
      <c r="D478" s="10" t="s">
        <v>1635</v>
      </c>
      <c r="E478" s="10" t="s">
        <v>1326</v>
      </c>
      <c r="F478" s="9" t="n">
        <v>251.9</v>
      </c>
      <c r="G478" s="10" t="s">
        <v>1636</v>
      </c>
    </row>
    <row r="479" customFormat="false" ht="15" hidden="false" customHeight="false" outlineLevel="0" collapsed="false">
      <c r="A479" s="9" t="s">
        <v>33</v>
      </c>
      <c r="B479" s="9" t="s">
        <v>25</v>
      </c>
      <c r="C479" s="10" t="s">
        <v>461</v>
      </c>
      <c r="D479" s="10" t="s">
        <v>1637</v>
      </c>
      <c r="E479" s="10" t="s">
        <v>1326</v>
      </c>
      <c r="F479" s="9" t="n">
        <v>174.2</v>
      </c>
      <c r="G479" s="10" t="s">
        <v>482</v>
      </c>
    </row>
    <row r="480" customFormat="false" ht="15" hidden="false" customHeight="false" outlineLevel="0" collapsed="false">
      <c r="A480" s="9" t="s">
        <v>34</v>
      </c>
      <c r="B480" s="9" t="s">
        <v>26</v>
      </c>
      <c r="C480" s="10" t="s">
        <v>547</v>
      </c>
      <c r="D480" s="10" t="s">
        <v>1638</v>
      </c>
      <c r="E480" s="10" t="s">
        <v>1639</v>
      </c>
      <c r="F480" s="9" t="n">
        <v>230.2</v>
      </c>
      <c r="G480" s="10" t="s">
        <v>549</v>
      </c>
    </row>
    <row r="481" customFormat="false" ht="15" hidden="false" customHeight="false" outlineLevel="0" collapsed="false">
      <c r="A481" s="9" t="s">
        <v>34</v>
      </c>
      <c r="B481" s="9" t="s">
        <v>26</v>
      </c>
      <c r="C481" s="10" t="s">
        <v>547</v>
      </c>
      <c r="D481" s="10" t="s">
        <v>1640</v>
      </c>
      <c r="E481" s="10" t="s">
        <v>1639</v>
      </c>
      <c r="F481" s="9" t="n">
        <v>46.4</v>
      </c>
      <c r="G481" s="10" t="s">
        <v>1097</v>
      </c>
    </row>
    <row r="482" customFormat="false" ht="15" hidden="false" customHeight="false" outlineLevel="0" collapsed="false">
      <c r="A482" s="9" t="s">
        <v>34</v>
      </c>
      <c r="B482" s="9" t="s">
        <v>26</v>
      </c>
      <c r="C482" s="10" t="s">
        <v>547</v>
      </c>
      <c r="D482" s="10" t="s">
        <v>1641</v>
      </c>
      <c r="E482" s="10" t="s">
        <v>1639</v>
      </c>
      <c r="F482" s="9" t="n">
        <v>34.8</v>
      </c>
      <c r="G482" s="10" t="s">
        <v>553</v>
      </c>
    </row>
    <row r="483" customFormat="false" ht="15" hidden="false" customHeight="false" outlineLevel="0" collapsed="false">
      <c r="A483" s="9" t="s">
        <v>34</v>
      </c>
      <c r="B483" s="9" t="s">
        <v>26</v>
      </c>
      <c r="C483" s="10" t="s">
        <v>547</v>
      </c>
      <c r="D483" s="10" t="s">
        <v>1642</v>
      </c>
      <c r="E483" s="10" t="s">
        <v>1639</v>
      </c>
      <c r="F483" s="9" t="n">
        <v>136.7</v>
      </c>
      <c r="G483" s="10" t="s">
        <v>555</v>
      </c>
    </row>
    <row r="484" customFormat="false" ht="15" hidden="false" customHeight="false" outlineLevel="0" collapsed="false">
      <c r="A484" s="9" t="s">
        <v>34</v>
      </c>
      <c r="B484" s="9" t="s">
        <v>26</v>
      </c>
      <c r="C484" s="10" t="s">
        <v>547</v>
      </c>
      <c r="D484" s="10" t="s">
        <v>1643</v>
      </c>
      <c r="E484" s="10" t="s">
        <v>1639</v>
      </c>
      <c r="F484" s="9" t="n">
        <v>9.1</v>
      </c>
      <c r="G484" s="10" t="s">
        <v>555</v>
      </c>
    </row>
    <row r="485" customFormat="false" ht="15" hidden="false" customHeight="false" outlineLevel="0" collapsed="false">
      <c r="A485" s="9" t="s">
        <v>34</v>
      </c>
      <c r="B485" s="9" t="s">
        <v>26</v>
      </c>
      <c r="C485" s="10" t="s">
        <v>547</v>
      </c>
      <c r="D485" s="10" t="s">
        <v>1644</v>
      </c>
      <c r="E485" s="10" t="s">
        <v>1639</v>
      </c>
      <c r="F485" s="9" t="n">
        <v>29.6</v>
      </c>
      <c r="G485" s="10" t="s">
        <v>555</v>
      </c>
    </row>
    <row r="486" customFormat="false" ht="15" hidden="false" customHeight="false" outlineLevel="0" collapsed="false">
      <c r="A486" s="9" t="s">
        <v>34</v>
      </c>
      <c r="B486" s="9" t="s">
        <v>26</v>
      </c>
      <c r="C486" s="10" t="s">
        <v>547</v>
      </c>
      <c r="D486" s="10" t="s">
        <v>1645</v>
      </c>
      <c r="E486" s="10" t="s">
        <v>1639</v>
      </c>
      <c r="F486" s="9" t="n">
        <v>16.5</v>
      </c>
      <c r="G486" s="10" t="s">
        <v>559</v>
      </c>
    </row>
    <row r="487" customFormat="false" ht="15" hidden="false" customHeight="false" outlineLevel="0" collapsed="false">
      <c r="A487" s="9" t="s">
        <v>34</v>
      </c>
      <c r="B487" s="9" t="s">
        <v>26</v>
      </c>
      <c r="C487" s="10" t="s">
        <v>547</v>
      </c>
      <c r="D487" s="10" t="s">
        <v>1646</v>
      </c>
      <c r="E487" s="10" t="s">
        <v>1639</v>
      </c>
      <c r="F487" s="9" t="n">
        <v>28.1</v>
      </c>
      <c r="G487" s="10" t="s">
        <v>561</v>
      </c>
    </row>
    <row r="488" customFormat="false" ht="15" hidden="false" customHeight="false" outlineLevel="0" collapsed="false">
      <c r="A488" s="9" t="s">
        <v>34</v>
      </c>
      <c r="B488" s="9" t="s">
        <v>26</v>
      </c>
      <c r="C488" s="10" t="s">
        <v>547</v>
      </c>
      <c r="D488" s="10" t="s">
        <v>1647</v>
      </c>
      <c r="E488" s="10" t="s">
        <v>1639</v>
      </c>
      <c r="F488" s="9" t="n">
        <v>9</v>
      </c>
      <c r="G488" s="10" t="s">
        <v>551</v>
      </c>
    </row>
    <row r="489" customFormat="false" ht="15" hidden="false" customHeight="false" outlineLevel="0" collapsed="false">
      <c r="A489" s="9" t="s">
        <v>34</v>
      </c>
      <c r="B489" s="9" t="s">
        <v>26</v>
      </c>
      <c r="C489" s="10" t="s">
        <v>547</v>
      </c>
      <c r="D489" s="10" t="s">
        <v>1648</v>
      </c>
      <c r="E489" s="10" t="s">
        <v>1639</v>
      </c>
      <c r="F489" s="9" t="n">
        <v>266.1</v>
      </c>
      <c r="G489" s="10" t="s">
        <v>564</v>
      </c>
    </row>
    <row r="490" customFormat="false" ht="15" hidden="false" customHeight="false" outlineLevel="0" collapsed="false">
      <c r="A490" s="9" t="s">
        <v>34</v>
      </c>
      <c r="B490" s="9" t="s">
        <v>26</v>
      </c>
      <c r="C490" s="10" t="s">
        <v>547</v>
      </c>
      <c r="D490" s="10" t="s">
        <v>1649</v>
      </c>
      <c r="E490" s="10" t="s">
        <v>1639</v>
      </c>
      <c r="F490" s="9" t="n">
        <v>381.1</v>
      </c>
      <c r="G490" s="10" t="s">
        <v>566</v>
      </c>
    </row>
    <row r="491" customFormat="false" ht="15" hidden="false" customHeight="false" outlineLevel="0" collapsed="false">
      <c r="A491" s="9" t="s">
        <v>34</v>
      </c>
      <c r="B491" s="9" t="s">
        <v>26</v>
      </c>
      <c r="C491" s="10" t="s">
        <v>547</v>
      </c>
      <c r="D491" s="10" t="s">
        <v>1650</v>
      </c>
      <c r="E491" s="10" t="s">
        <v>1639</v>
      </c>
      <c r="F491" s="9" t="n">
        <v>315.7</v>
      </c>
      <c r="G491" s="10" t="s">
        <v>570</v>
      </c>
    </row>
    <row r="492" customFormat="false" ht="15" hidden="false" customHeight="false" outlineLevel="0" collapsed="false">
      <c r="A492" s="9" t="s">
        <v>34</v>
      </c>
      <c r="B492" s="9" t="s">
        <v>26</v>
      </c>
      <c r="C492" s="10" t="s">
        <v>547</v>
      </c>
      <c r="D492" s="10" t="s">
        <v>1651</v>
      </c>
      <c r="E492" s="10" t="s">
        <v>1639</v>
      </c>
      <c r="F492" s="9" t="n">
        <v>152.8</v>
      </c>
      <c r="G492" s="10" t="s">
        <v>561</v>
      </c>
    </row>
    <row r="493" customFormat="false" ht="15" hidden="false" customHeight="false" outlineLevel="0" collapsed="false">
      <c r="A493" s="9" t="s">
        <v>34</v>
      </c>
      <c r="B493" s="9" t="s">
        <v>26</v>
      </c>
      <c r="C493" s="10" t="s">
        <v>547</v>
      </c>
      <c r="D493" s="9" t="s">
        <v>1652</v>
      </c>
      <c r="E493" s="10" t="s">
        <v>1639</v>
      </c>
      <c r="F493" s="9" t="n">
        <v>26.3</v>
      </c>
      <c r="G493" s="10" t="s">
        <v>574</v>
      </c>
    </row>
    <row r="494" customFormat="false" ht="15" hidden="false" customHeight="false" outlineLevel="0" collapsed="false">
      <c r="A494" s="9" t="s">
        <v>34</v>
      </c>
      <c r="B494" s="9" t="s">
        <v>19</v>
      </c>
      <c r="C494" s="10" t="s">
        <v>156</v>
      </c>
      <c r="D494" s="10" t="s">
        <v>1653</v>
      </c>
      <c r="E494" s="10" t="s">
        <v>1639</v>
      </c>
      <c r="F494" s="9" t="n">
        <v>768.4</v>
      </c>
      <c r="G494" s="10" t="s">
        <v>158</v>
      </c>
    </row>
    <row r="495" customFormat="false" ht="15" hidden="false" customHeight="false" outlineLevel="0" collapsed="false">
      <c r="A495" s="9" t="s">
        <v>34</v>
      </c>
      <c r="B495" s="9" t="s">
        <v>19</v>
      </c>
      <c r="C495" s="10" t="s">
        <v>156</v>
      </c>
      <c r="D495" s="10" t="s">
        <v>1654</v>
      </c>
      <c r="E495" s="10" t="s">
        <v>1639</v>
      </c>
      <c r="F495" s="9" t="n">
        <v>634.4</v>
      </c>
      <c r="G495" s="10" t="s">
        <v>162</v>
      </c>
    </row>
    <row r="496" customFormat="false" ht="15" hidden="false" customHeight="false" outlineLevel="0" collapsed="false">
      <c r="A496" s="9" t="s">
        <v>34</v>
      </c>
      <c r="B496" s="9" t="s">
        <v>19</v>
      </c>
      <c r="C496" s="10" t="s">
        <v>156</v>
      </c>
      <c r="D496" s="10" t="s">
        <v>1655</v>
      </c>
      <c r="E496" s="10" t="s">
        <v>1639</v>
      </c>
      <c r="F496" s="9" t="n">
        <v>435.2</v>
      </c>
      <c r="G496" s="10" t="s">
        <v>162</v>
      </c>
    </row>
    <row r="497" customFormat="false" ht="15" hidden="false" customHeight="false" outlineLevel="0" collapsed="false">
      <c r="A497" s="9" t="s">
        <v>34</v>
      </c>
      <c r="B497" s="9" t="s">
        <v>19</v>
      </c>
      <c r="C497" s="10" t="s">
        <v>156</v>
      </c>
      <c r="D497" s="10" t="s">
        <v>1656</v>
      </c>
      <c r="E497" s="10" t="s">
        <v>1639</v>
      </c>
      <c r="F497" s="9" t="n">
        <v>433.3</v>
      </c>
      <c r="G497" s="10" t="s">
        <v>165</v>
      </c>
    </row>
    <row r="498" customFormat="false" ht="15" hidden="false" customHeight="false" outlineLevel="0" collapsed="false">
      <c r="A498" s="9" t="s">
        <v>34</v>
      </c>
      <c r="B498" s="9" t="s">
        <v>19</v>
      </c>
      <c r="C498" s="10" t="s">
        <v>156</v>
      </c>
      <c r="D498" s="10" t="s">
        <v>1657</v>
      </c>
      <c r="E498" s="10" t="s">
        <v>1639</v>
      </c>
      <c r="F498" s="9" t="n">
        <v>438.5</v>
      </c>
      <c r="G498" s="10" t="s">
        <v>165</v>
      </c>
    </row>
    <row r="499" customFormat="false" ht="15" hidden="false" customHeight="false" outlineLevel="0" collapsed="false">
      <c r="A499" s="9" t="s">
        <v>34</v>
      </c>
      <c r="B499" s="9" t="s">
        <v>19</v>
      </c>
      <c r="C499" s="10" t="s">
        <v>156</v>
      </c>
      <c r="D499" s="10" t="s">
        <v>1658</v>
      </c>
      <c r="E499" s="10" t="s">
        <v>1639</v>
      </c>
      <c r="F499" s="9" t="n">
        <v>63.8</v>
      </c>
      <c r="G499" s="10" t="s">
        <v>170</v>
      </c>
    </row>
    <row r="500" customFormat="false" ht="15" hidden="false" customHeight="false" outlineLevel="0" collapsed="false">
      <c r="A500" s="9" t="s">
        <v>34</v>
      </c>
      <c r="B500" s="9" t="s">
        <v>19</v>
      </c>
      <c r="C500" s="10" t="s">
        <v>156</v>
      </c>
      <c r="D500" s="10" t="s">
        <v>1659</v>
      </c>
      <c r="E500" s="10" t="s">
        <v>1639</v>
      </c>
      <c r="F500" s="9" t="n">
        <v>19.7</v>
      </c>
      <c r="G500" s="10" t="s">
        <v>165</v>
      </c>
    </row>
    <row r="501" customFormat="false" ht="15" hidden="false" customHeight="false" outlineLevel="0" collapsed="false">
      <c r="A501" s="9" t="s">
        <v>34</v>
      </c>
      <c r="B501" s="9" t="s">
        <v>19</v>
      </c>
      <c r="C501" s="10" t="s">
        <v>156</v>
      </c>
      <c r="D501" s="10" t="s">
        <v>1660</v>
      </c>
      <c r="E501" s="10" t="s">
        <v>1639</v>
      </c>
      <c r="F501" s="9" t="n">
        <v>74.5</v>
      </c>
      <c r="G501" s="10" t="s">
        <v>162</v>
      </c>
    </row>
    <row r="502" customFormat="false" ht="15" hidden="false" customHeight="false" outlineLevel="0" collapsed="false">
      <c r="A502" s="9" t="s">
        <v>34</v>
      </c>
      <c r="B502" s="9" t="s">
        <v>19</v>
      </c>
      <c r="C502" s="10" t="s">
        <v>156</v>
      </c>
      <c r="D502" s="10" t="s">
        <v>1661</v>
      </c>
      <c r="E502" s="10" t="s">
        <v>1639</v>
      </c>
      <c r="F502" s="9" t="n">
        <v>116.5</v>
      </c>
      <c r="G502" s="10" t="s">
        <v>175</v>
      </c>
    </row>
    <row r="503" customFormat="false" ht="15" hidden="false" customHeight="false" outlineLevel="0" collapsed="false">
      <c r="A503" s="9" t="s">
        <v>34</v>
      </c>
      <c r="B503" s="9" t="s">
        <v>19</v>
      </c>
      <c r="C503" s="10" t="s">
        <v>177</v>
      </c>
      <c r="D503" s="10" t="s">
        <v>1662</v>
      </c>
      <c r="E503" s="10" t="s">
        <v>1639</v>
      </c>
      <c r="F503" s="9" t="n">
        <v>342.8</v>
      </c>
      <c r="G503" s="10" t="s">
        <v>179</v>
      </c>
    </row>
    <row r="504" customFormat="false" ht="15" hidden="false" customHeight="false" outlineLevel="0" collapsed="false">
      <c r="A504" s="9" t="s">
        <v>34</v>
      </c>
      <c r="B504" s="9" t="s">
        <v>19</v>
      </c>
      <c r="C504" s="10" t="s">
        <v>177</v>
      </c>
      <c r="D504" s="10" t="s">
        <v>1663</v>
      </c>
      <c r="E504" s="10" t="s">
        <v>1639</v>
      </c>
      <c r="F504" s="9" t="n">
        <v>481.4</v>
      </c>
      <c r="G504" s="10" t="s">
        <v>181</v>
      </c>
    </row>
    <row r="505" customFormat="false" ht="15" hidden="false" customHeight="false" outlineLevel="0" collapsed="false">
      <c r="A505" s="9" t="s">
        <v>34</v>
      </c>
      <c r="B505" s="9" t="s">
        <v>19</v>
      </c>
      <c r="C505" s="10" t="s">
        <v>177</v>
      </c>
      <c r="D505" s="10" t="s">
        <v>1664</v>
      </c>
      <c r="E505" s="10" t="s">
        <v>1639</v>
      </c>
      <c r="F505" s="9" t="n">
        <v>99.1</v>
      </c>
      <c r="G505" s="10" t="s">
        <v>183</v>
      </c>
    </row>
    <row r="506" customFormat="false" ht="15" hidden="false" customHeight="false" outlineLevel="0" collapsed="false">
      <c r="A506" s="9" t="s">
        <v>34</v>
      </c>
      <c r="B506" s="9" t="s">
        <v>19</v>
      </c>
      <c r="C506" s="10" t="s">
        <v>177</v>
      </c>
      <c r="D506" s="10" t="s">
        <v>1665</v>
      </c>
      <c r="E506" s="10" t="s">
        <v>1639</v>
      </c>
      <c r="F506" s="9" t="n">
        <v>20.7</v>
      </c>
      <c r="G506" s="10" t="s">
        <v>185</v>
      </c>
    </row>
    <row r="507" customFormat="false" ht="15" hidden="false" customHeight="false" outlineLevel="0" collapsed="false">
      <c r="A507" s="9" t="s">
        <v>34</v>
      </c>
      <c r="B507" s="9" t="s">
        <v>19</v>
      </c>
      <c r="C507" s="10" t="s">
        <v>177</v>
      </c>
      <c r="D507" s="10" t="s">
        <v>1666</v>
      </c>
      <c r="E507" s="10" t="s">
        <v>1639</v>
      </c>
      <c r="F507" s="9" t="n">
        <v>19.4</v>
      </c>
      <c r="G507" s="10" t="s">
        <v>189</v>
      </c>
    </row>
    <row r="508" customFormat="false" ht="15" hidden="false" customHeight="false" outlineLevel="0" collapsed="false">
      <c r="A508" s="9" t="s">
        <v>34</v>
      </c>
      <c r="B508" s="9" t="s">
        <v>19</v>
      </c>
      <c r="C508" s="10" t="s">
        <v>177</v>
      </c>
      <c r="D508" s="10" t="s">
        <v>1667</v>
      </c>
      <c r="E508" s="10" t="s">
        <v>1639</v>
      </c>
      <c r="F508" s="9" t="n">
        <v>8.8</v>
      </c>
      <c r="G508" s="10" t="s">
        <v>191</v>
      </c>
    </row>
    <row r="509" customFormat="false" ht="15" hidden="false" customHeight="false" outlineLevel="0" collapsed="false">
      <c r="A509" s="9" t="s">
        <v>34</v>
      </c>
      <c r="B509" s="9" t="s">
        <v>19</v>
      </c>
      <c r="C509" s="10" t="s">
        <v>177</v>
      </c>
      <c r="D509" s="10" t="s">
        <v>1668</v>
      </c>
      <c r="E509" s="10" t="s">
        <v>1639</v>
      </c>
      <c r="F509" s="9" t="n">
        <v>29.4</v>
      </c>
      <c r="G509" s="10" t="s">
        <v>193</v>
      </c>
    </row>
    <row r="510" customFormat="false" ht="15" hidden="false" customHeight="false" outlineLevel="0" collapsed="false">
      <c r="A510" s="9" t="s">
        <v>34</v>
      </c>
      <c r="B510" s="9" t="s">
        <v>19</v>
      </c>
      <c r="C510" s="10" t="s">
        <v>177</v>
      </c>
      <c r="D510" s="10" t="s">
        <v>1669</v>
      </c>
      <c r="E510" s="10" t="s">
        <v>1639</v>
      </c>
      <c r="F510" s="9" t="n">
        <v>30.4</v>
      </c>
      <c r="G510" s="10" t="s">
        <v>195</v>
      </c>
    </row>
    <row r="511" customFormat="false" ht="15" hidden="false" customHeight="false" outlineLevel="0" collapsed="false">
      <c r="A511" s="9" t="s">
        <v>34</v>
      </c>
      <c r="B511" s="9" t="s">
        <v>19</v>
      </c>
      <c r="C511" s="10" t="s">
        <v>177</v>
      </c>
      <c r="D511" s="10" t="s">
        <v>1670</v>
      </c>
      <c r="E511" s="10" t="s">
        <v>1639</v>
      </c>
      <c r="F511" s="9" t="n">
        <v>9.8</v>
      </c>
      <c r="G511" s="10" t="s">
        <v>197</v>
      </c>
    </row>
    <row r="512" customFormat="false" ht="15" hidden="false" customHeight="false" outlineLevel="0" collapsed="false">
      <c r="A512" s="9" t="s">
        <v>34</v>
      </c>
      <c r="B512" s="9" t="s">
        <v>19</v>
      </c>
      <c r="C512" s="10" t="s">
        <v>177</v>
      </c>
      <c r="D512" s="10" t="s">
        <v>1671</v>
      </c>
      <c r="E512" s="10" t="s">
        <v>1639</v>
      </c>
      <c r="F512" s="9" t="n">
        <v>24.2</v>
      </c>
      <c r="G512" s="10" t="s">
        <v>191</v>
      </c>
    </row>
    <row r="513" customFormat="false" ht="15" hidden="false" customHeight="false" outlineLevel="0" collapsed="false">
      <c r="A513" s="9" t="s">
        <v>34</v>
      </c>
      <c r="B513" s="9" t="s">
        <v>19</v>
      </c>
      <c r="C513" s="10" t="s">
        <v>177</v>
      </c>
      <c r="D513" s="10" t="s">
        <v>1672</v>
      </c>
      <c r="E513" s="10" t="s">
        <v>1639</v>
      </c>
      <c r="F513" s="9" t="n">
        <v>85.8</v>
      </c>
      <c r="G513" s="10" t="s">
        <v>200</v>
      </c>
    </row>
    <row r="514" customFormat="false" ht="15" hidden="false" customHeight="false" outlineLevel="0" collapsed="false">
      <c r="A514" s="9" t="s">
        <v>34</v>
      </c>
      <c r="B514" s="9" t="s">
        <v>19</v>
      </c>
      <c r="C514" s="10" t="s">
        <v>177</v>
      </c>
      <c r="D514" s="10" t="s">
        <v>1673</v>
      </c>
      <c r="E514" s="10" t="s">
        <v>1639</v>
      </c>
      <c r="F514" s="9" t="n">
        <v>72.3</v>
      </c>
      <c r="G514" s="10" t="s">
        <v>202</v>
      </c>
    </row>
    <row r="515" customFormat="false" ht="15" hidden="false" customHeight="false" outlineLevel="0" collapsed="false">
      <c r="A515" s="9" t="s">
        <v>34</v>
      </c>
      <c r="B515" s="9" t="s">
        <v>19</v>
      </c>
      <c r="C515" s="10" t="s">
        <v>177</v>
      </c>
      <c r="D515" s="10" t="s">
        <v>1674</v>
      </c>
      <c r="E515" s="10" t="s">
        <v>1639</v>
      </c>
      <c r="F515" s="9" t="n">
        <v>63.5</v>
      </c>
      <c r="G515" s="10" t="s">
        <v>204</v>
      </c>
    </row>
    <row r="516" customFormat="false" ht="15" hidden="false" customHeight="false" outlineLevel="0" collapsed="false">
      <c r="A516" s="9" t="s">
        <v>34</v>
      </c>
      <c r="B516" s="9" t="s">
        <v>19</v>
      </c>
      <c r="C516" s="10" t="s">
        <v>177</v>
      </c>
      <c r="D516" s="10" t="s">
        <v>1675</v>
      </c>
      <c r="E516" s="10" t="s">
        <v>1639</v>
      </c>
      <c r="F516" s="9" t="n">
        <v>302</v>
      </c>
      <c r="G516" s="10" t="s">
        <v>206</v>
      </c>
    </row>
    <row r="517" customFormat="false" ht="15" hidden="false" customHeight="false" outlineLevel="0" collapsed="false">
      <c r="A517" s="9" t="s">
        <v>34</v>
      </c>
      <c r="B517" s="9" t="s">
        <v>19</v>
      </c>
      <c r="C517" s="10" t="s">
        <v>177</v>
      </c>
      <c r="D517" s="10" t="s">
        <v>1676</v>
      </c>
      <c r="E517" s="10" t="s">
        <v>1639</v>
      </c>
      <c r="F517" s="9" t="n">
        <v>25.7</v>
      </c>
      <c r="G517" s="10" t="s">
        <v>208</v>
      </c>
    </row>
    <row r="518" customFormat="false" ht="15" hidden="false" customHeight="false" outlineLevel="0" collapsed="false">
      <c r="A518" s="9" t="s">
        <v>34</v>
      </c>
      <c r="B518" s="9" t="s">
        <v>19</v>
      </c>
      <c r="C518" s="10" t="s">
        <v>177</v>
      </c>
      <c r="D518" s="10" t="s">
        <v>1677</v>
      </c>
      <c r="E518" s="10" t="s">
        <v>1639</v>
      </c>
      <c r="F518" s="9" t="n">
        <v>8.4</v>
      </c>
      <c r="G518" s="10" t="s">
        <v>210</v>
      </c>
    </row>
    <row r="519" customFormat="false" ht="15" hidden="false" customHeight="false" outlineLevel="0" collapsed="false">
      <c r="A519" s="9" t="s">
        <v>34</v>
      </c>
      <c r="B519" s="9" t="s">
        <v>22</v>
      </c>
      <c r="C519" s="10" t="s">
        <v>399</v>
      </c>
      <c r="D519" s="10" t="s">
        <v>1678</v>
      </c>
      <c r="E519" s="10" t="s">
        <v>1639</v>
      </c>
      <c r="F519" s="9" t="n">
        <v>451.8</v>
      </c>
      <c r="G519" s="10" t="s">
        <v>1679</v>
      </c>
    </row>
    <row r="520" customFormat="false" ht="15" hidden="false" customHeight="false" outlineLevel="0" collapsed="false">
      <c r="A520" s="9" t="s">
        <v>34</v>
      </c>
      <c r="B520" s="9" t="s">
        <v>22</v>
      </c>
      <c r="C520" s="10" t="s">
        <v>399</v>
      </c>
      <c r="D520" s="10" t="s">
        <v>1680</v>
      </c>
      <c r="E520" s="10" t="s">
        <v>1639</v>
      </c>
      <c r="F520" s="9" t="n">
        <v>144.4</v>
      </c>
      <c r="G520" s="10" t="s">
        <v>1679</v>
      </c>
    </row>
    <row r="521" customFormat="false" ht="15" hidden="false" customHeight="false" outlineLevel="0" collapsed="false">
      <c r="A521" s="9" t="s">
        <v>34</v>
      </c>
      <c r="B521" s="9" t="s">
        <v>22</v>
      </c>
      <c r="C521" s="10" t="s">
        <v>399</v>
      </c>
      <c r="D521" s="10" t="s">
        <v>1681</v>
      </c>
      <c r="E521" s="10" t="s">
        <v>1639</v>
      </c>
      <c r="F521" s="9" t="n">
        <v>698.6</v>
      </c>
      <c r="G521" s="10" t="s">
        <v>1679</v>
      </c>
    </row>
    <row r="522" customFormat="false" ht="15" hidden="false" customHeight="false" outlineLevel="0" collapsed="false">
      <c r="A522" s="9" t="s">
        <v>34</v>
      </c>
      <c r="B522" s="9" t="s">
        <v>22</v>
      </c>
      <c r="C522" s="10" t="s">
        <v>399</v>
      </c>
      <c r="D522" s="10" t="s">
        <v>1682</v>
      </c>
      <c r="E522" s="10" t="s">
        <v>1639</v>
      </c>
      <c r="F522" s="9" t="n">
        <v>265.4</v>
      </c>
      <c r="G522" s="10" t="s">
        <v>1679</v>
      </c>
    </row>
    <row r="523" customFormat="false" ht="15" hidden="false" customHeight="false" outlineLevel="0" collapsed="false">
      <c r="A523" s="9" t="s">
        <v>34</v>
      </c>
      <c r="B523" s="9" t="s">
        <v>22</v>
      </c>
      <c r="C523" s="10" t="s">
        <v>399</v>
      </c>
      <c r="D523" s="10" t="s">
        <v>1683</v>
      </c>
      <c r="E523" s="10" t="s">
        <v>1639</v>
      </c>
      <c r="F523" s="9" t="n">
        <v>209.6</v>
      </c>
      <c r="G523" s="10" t="s">
        <v>1679</v>
      </c>
    </row>
    <row r="524" customFormat="false" ht="15" hidden="false" customHeight="false" outlineLevel="0" collapsed="false">
      <c r="A524" s="9" t="s">
        <v>34</v>
      </c>
      <c r="B524" s="9" t="s">
        <v>22</v>
      </c>
      <c r="C524" s="10" t="s">
        <v>399</v>
      </c>
      <c r="D524" s="10" t="s">
        <v>1684</v>
      </c>
      <c r="E524" s="10" t="s">
        <v>1639</v>
      </c>
      <c r="F524" s="9" t="n">
        <v>437.4</v>
      </c>
      <c r="G524" s="10" t="s">
        <v>1679</v>
      </c>
    </row>
    <row r="525" customFormat="false" ht="15" hidden="false" customHeight="false" outlineLevel="0" collapsed="false">
      <c r="A525" s="9" t="s">
        <v>34</v>
      </c>
      <c r="B525" s="9" t="s">
        <v>22</v>
      </c>
      <c r="C525" s="10" t="s">
        <v>399</v>
      </c>
      <c r="D525" s="10" t="s">
        <v>1685</v>
      </c>
      <c r="E525" s="10" t="s">
        <v>1639</v>
      </c>
      <c r="F525" s="9" t="n">
        <v>503.2</v>
      </c>
      <c r="G525" s="10" t="s">
        <v>1679</v>
      </c>
    </row>
    <row r="526" customFormat="false" ht="15" hidden="false" customHeight="false" outlineLevel="0" collapsed="false">
      <c r="A526" s="9" t="s">
        <v>34</v>
      </c>
      <c r="B526" s="9" t="s">
        <v>22</v>
      </c>
      <c r="C526" s="10" t="s">
        <v>399</v>
      </c>
      <c r="D526" s="10" t="s">
        <v>1686</v>
      </c>
      <c r="E526" s="10" t="s">
        <v>1639</v>
      </c>
      <c r="F526" s="9" t="n">
        <v>600.9</v>
      </c>
      <c r="G526" s="10" t="s">
        <v>1679</v>
      </c>
    </row>
    <row r="527" customFormat="false" ht="15" hidden="false" customHeight="false" outlineLevel="0" collapsed="false">
      <c r="A527" s="9" t="s">
        <v>34</v>
      </c>
      <c r="B527" s="9" t="s">
        <v>22</v>
      </c>
      <c r="C527" s="10" t="s">
        <v>399</v>
      </c>
      <c r="D527" s="10" t="s">
        <v>1687</v>
      </c>
      <c r="E527" s="10" t="s">
        <v>1639</v>
      </c>
      <c r="F527" s="9" t="n">
        <v>236.9</v>
      </c>
      <c r="G527" s="10" t="s">
        <v>1679</v>
      </c>
    </row>
    <row r="528" customFormat="false" ht="15" hidden="false" customHeight="false" outlineLevel="0" collapsed="false">
      <c r="A528" s="9" t="s">
        <v>34</v>
      </c>
      <c r="B528" s="9" t="s">
        <v>23</v>
      </c>
      <c r="C528" s="10" t="s">
        <v>70</v>
      </c>
      <c r="D528" s="10" t="s">
        <v>1688</v>
      </c>
      <c r="E528" s="10" t="s">
        <v>1639</v>
      </c>
      <c r="F528" s="9" t="n">
        <v>12.2</v>
      </c>
      <c r="G528" s="10" t="s">
        <v>420</v>
      </c>
    </row>
    <row r="529" customFormat="false" ht="15" hidden="false" customHeight="false" outlineLevel="0" collapsed="false">
      <c r="A529" s="9" t="s">
        <v>34</v>
      </c>
      <c r="B529" s="9" t="s">
        <v>18</v>
      </c>
      <c r="C529" s="10" t="s">
        <v>70</v>
      </c>
      <c r="D529" s="10" t="s">
        <v>1689</v>
      </c>
      <c r="E529" s="10" t="s">
        <v>1639</v>
      </c>
      <c r="F529" s="9" t="n">
        <v>10.7</v>
      </c>
      <c r="G529" s="10" t="s">
        <v>74</v>
      </c>
    </row>
    <row r="530" customFormat="false" ht="15" hidden="false" customHeight="false" outlineLevel="0" collapsed="false">
      <c r="A530" s="9" t="s">
        <v>34</v>
      </c>
      <c r="B530" s="9" t="s">
        <v>18</v>
      </c>
      <c r="C530" s="10" t="s">
        <v>70</v>
      </c>
      <c r="D530" s="9" t="s">
        <v>1690</v>
      </c>
      <c r="E530" s="10" t="s">
        <v>1639</v>
      </c>
      <c r="F530" s="9" t="n">
        <v>4506.3</v>
      </c>
      <c r="G530" s="10" t="s">
        <v>1691</v>
      </c>
    </row>
    <row r="531" customFormat="false" ht="15" hidden="false" customHeight="false" outlineLevel="0" collapsed="false">
      <c r="A531" s="9" t="s">
        <v>34</v>
      </c>
      <c r="B531" s="9" t="s">
        <v>23</v>
      </c>
      <c r="C531" s="10" t="s">
        <v>70</v>
      </c>
      <c r="D531" s="9" t="s">
        <v>1692</v>
      </c>
      <c r="E531" s="10" t="s">
        <v>1639</v>
      </c>
      <c r="F531" s="9" t="n">
        <v>155.4</v>
      </c>
      <c r="G531" s="10" t="s">
        <v>422</v>
      </c>
    </row>
    <row r="532" customFormat="false" ht="15" hidden="false" customHeight="false" outlineLevel="0" collapsed="false">
      <c r="A532" s="9" t="s">
        <v>34</v>
      </c>
      <c r="B532" s="9" t="s">
        <v>23</v>
      </c>
      <c r="C532" s="10" t="s">
        <v>70</v>
      </c>
      <c r="D532" s="9" t="s">
        <v>1693</v>
      </c>
      <c r="E532" s="10" t="s">
        <v>1639</v>
      </c>
      <c r="F532" s="9" t="n">
        <v>297.3</v>
      </c>
      <c r="G532" s="10" t="s">
        <v>422</v>
      </c>
    </row>
    <row r="533" customFormat="false" ht="15" hidden="false" customHeight="false" outlineLevel="0" collapsed="false">
      <c r="A533" s="9" t="s">
        <v>34</v>
      </c>
      <c r="B533" s="9" t="s">
        <v>27</v>
      </c>
      <c r="C533" s="10" t="s">
        <v>647</v>
      </c>
      <c r="D533" s="10" t="s">
        <v>1694</v>
      </c>
      <c r="E533" s="10" t="s">
        <v>1639</v>
      </c>
      <c r="F533" s="9" t="n">
        <v>41.2</v>
      </c>
      <c r="G533" s="10" t="s">
        <v>692</v>
      </c>
    </row>
    <row r="534" customFormat="false" ht="15" hidden="false" customHeight="false" outlineLevel="0" collapsed="false">
      <c r="A534" s="9" t="s">
        <v>34</v>
      </c>
      <c r="B534" s="9" t="s">
        <v>27</v>
      </c>
      <c r="C534" s="10" t="s">
        <v>647</v>
      </c>
      <c r="D534" s="10" t="s">
        <v>1695</v>
      </c>
      <c r="E534" s="10" t="s">
        <v>1639</v>
      </c>
      <c r="F534" s="9" t="n">
        <v>11.5</v>
      </c>
      <c r="G534" s="10" t="s">
        <v>694</v>
      </c>
    </row>
    <row r="535" customFormat="false" ht="15" hidden="false" customHeight="false" outlineLevel="0" collapsed="false">
      <c r="A535" s="9" t="s">
        <v>34</v>
      </c>
      <c r="B535" s="9" t="s">
        <v>27</v>
      </c>
      <c r="C535" s="10" t="s">
        <v>647</v>
      </c>
      <c r="D535" s="10" t="s">
        <v>1696</v>
      </c>
      <c r="E535" s="10" t="s">
        <v>1639</v>
      </c>
      <c r="F535" s="9" t="n">
        <v>5.6</v>
      </c>
      <c r="G535" s="10" t="s">
        <v>694</v>
      </c>
    </row>
    <row r="536" customFormat="false" ht="15" hidden="false" customHeight="false" outlineLevel="0" collapsed="false">
      <c r="A536" s="9" t="s">
        <v>34</v>
      </c>
      <c r="B536" s="9" t="s">
        <v>27</v>
      </c>
      <c r="C536" s="10" t="s">
        <v>647</v>
      </c>
      <c r="D536" s="10" t="s">
        <v>1697</v>
      </c>
      <c r="E536" s="10" t="s">
        <v>1639</v>
      </c>
      <c r="F536" s="9" t="n">
        <v>8.7</v>
      </c>
      <c r="G536" s="10" t="s">
        <v>697</v>
      </c>
    </row>
    <row r="537" customFormat="false" ht="15" hidden="false" customHeight="false" outlineLevel="0" collapsed="false">
      <c r="A537" s="9" t="s">
        <v>34</v>
      </c>
      <c r="B537" s="9" t="s">
        <v>27</v>
      </c>
      <c r="C537" s="10" t="s">
        <v>647</v>
      </c>
      <c r="D537" s="10" t="s">
        <v>1698</v>
      </c>
      <c r="E537" s="10" t="s">
        <v>1639</v>
      </c>
      <c r="F537" s="9" t="n">
        <v>120.1</v>
      </c>
      <c r="G537" s="10" t="s">
        <v>699</v>
      </c>
    </row>
    <row r="538" customFormat="false" ht="15" hidden="false" customHeight="false" outlineLevel="0" collapsed="false">
      <c r="A538" s="9" t="s">
        <v>34</v>
      </c>
      <c r="B538" s="9" t="s">
        <v>27</v>
      </c>
      <c r="C538" s="10" t="s">
        <v>647</v>
      </c>
      <c r="D538" s="9" t="s">
        <v>1699</v>
      </c>
      <c r="E538" s="10" t="s">
        <v>1639</v>
      </c>
      <c r="F538" s="9" t="n">
        <v>316.5</v>
      </c>
      <c r="G538" s="10" t="s">
        <v>703</v>
      </c>
    </row>
    <row r="539" customFormat="false" ht="15" hidden="false" customHeight="false" outlineLevel="0" collapsed="false">
      <c r="A539" s="9" t="s">
        <v>34</v>
      </c>
      <c r="B539" s="9" t="s">
        <v>20</v>
      </c>
      <c r="C539" s="10" t="s">
        <v>277</v>
      </c>
      <c r="D539" s="9" t="s">
        <v>1700</v>
      </c>
      <c r="E539" s="10" t="s">
        <v>1639</v>
      </c>
      <c r="F539" s="9" t="n">
        <v>138.2</v>
      </c>
      <c r="G539" s="10" t="s">
        <v>279</v>
      </c>
    </row>
    <row r="540" customFormat="false" ht="15" hidden="false" customHeight="false" outlineLevel="0" collapsed="false">
      <c r="A540" s="9" t="s">
        <v>34</v>
      </c>
      <c r="B540" s="9" t="s">
        <v>23</v>
      </c>
      <c r="C540" s="10" t="s">
        <v>410</v>
      </c>
      <c r="D540" s="10" t="s">
        <v>1701</v>
      </c>
      <c r="E540" s="10" t="s">
        <v>1639</v>
      </c>
      <c r="F540" s="9" t="n">
        <v>8.7</v>
      </c>
      <c r="G540" s="10" t="s">
        <v>412</v>
      </c>
    </row>
    <row r="541" customFormat="false" ht="15" hidden="false" customHeight="false" outlineLevel="0" collapsed="false">
      <c r="A541" s="9" t="s">
        <v>34</v>
      </c>
      <c r="B541" s="9" t="s">
        <v>26</v>
      </c>
      <c r="C541" s="10" t="s">
        <v>652</v>
      </c>
      <c r="D541" s="10" t="s">
        <v>1702</v>
      </c>
      <c r="E541" s="10" t="s">
        <v>1639</v>
      </c>
      <c r="F541" s="9" t="n">
        <v>7.6</v>
      </c>
      <c r="G541" s="10" t="s">
        <v>654</v>
      </c>
    </row>
    <row r="542" customFormat="false" ht="15" hidden="false" customHeight="false" outlineLevel="0" collapsed="false">
      <c r="A542" s="9" t="s">
        <v>34</v>
      </c>
      <c r="B542" s="9" t="s">
        <v>26</v>
      </c>
      <c r="C542" s="10" t="s">
        <v>652</v>
      </c>
      <c r="D542" s="10" t="s">
        <v>1703</v>
      </c>
      <c r="E542" s="10" t="s">
        <v>1639</v>
      </c>
      <c r="F542" s="9" t="n">
        <v>200.8</v>
      </c>
      <c r="G542" s="10" t="s">
        <v>658</v>
      </c>
    </row>
    <row r="543" customFormat="false" ht="15" hidden="false" customHeight="false" outlineLevel="0" collapsed="false">
      <c r="A543" s="9" t="s">
        <v>34</v>
      </c>
      <c r="B543" s="9" t="s">
        <v>26</v>
      </c>
      <c r="C543" s="10" t="s">
        <v>652</v>
      </c>
      <c r="D543" s="10" t="s">
        <v>1704</v>
      </c>
      <c r="E543" s="10" t="s">
        <v>1639</v>
      </c>
      <c r="F543" s="9" t="n">
        <v>143.2</v>
      </c>
      <c r="G543" s="10" t="s">
        <v>658</v>
      </c>
    </row>
    <row r="544" customFormat="false" ht="15" hidden="false" customHeight="false" outlineLevel="0" collapsed="false">
      <c r="A544" s="9" t="s">
        <v>34</v>
      </c>
      <c r="B544" s="9" t="s">
        <v>26</v>
      </c>
      <c r="C544" s="10" t="s">
        <v>652</v>
      </c>
      <c r="D544" s="10" t="s">
        <v>1705</v>
      </c>
      <c r="E544" s="10" t="s">
        <v>1639</v>
      </c>
      <c r="F544" s="9" t="n">
        <v>343.4</v>
      </c>
      <c r="G544" s="10" t="s">
        <v>654</v>
      </c>
    </row>
    <row r="545" customFormat="false" ht="15" hidden="false" customHeight="false" outlineLevel="0" collapsed="false">
      <c r="A545" s="9" t="s">
        <v>34</v>
      </c>
      <c r="B545" s="9" t="s">
        <v>26</v>
      </c>
      <c r="C545" s="10" t="s">
        <v>652</v>
      </c>
      <c r="D545" s="10" t="s">
        <v>1706</v>
      </c>
      <c r="E545" s="10" t="s">
        <v>1639</v>
      </c>
      <c r="F545" s="9" t="n">
        <v>117.1</v>
      </c>
      <c r="G545" s="10" t="s">
        <v>670</v>
      </c>
    </row>
    <row r="546" customFormat="false" ht="15" hidden="false" customHeight="false" outlineLevel="0" collapsed="false">
      <c r="A546" s="9" t="s">
        <v>34</v>
      </c>
      <c r="B546" s="9" t="s">
        <v>26</v>
      </c>
      <c r="C546" s="10" t="s">
        <v>652</v>
      </c>
      <c r="D546" s="10" t="s">
        <v>1707</v>
      </c>
      <c r="E546" s="10" t="s">
        <v>1639</v>
      </c>
      <c r="F546" s="9" t="n">
        <v>6.1</v>
      </c>
      <c r="G546" s="10" t="s">
        <v>670</v>
      </c>
    </row>
    <row r="547" customFormat="false" ht="15" hidden="false" customHeight="false" outlineLevel="0" collapsed="false">
      <c r="A547" s="9" t="s">
        <v>34</v>
      </c>
      <c r="B547" s="9" t="s">
        <v>26</v>
      </c>
      <c r="C547" s="10" t="s">
        <v>652</v>
      </c>
      <c r="D547" s="10" t="s">
        <v>1708</v>
      </c>
      <c r="E547" s="10" t="s">
        <v>1639</v>
      </c>
      <c r="F547" s="9" t="n">
        <v>147.2</v>
      </c>
      <c r="G547" s="10" t="s">
        <v>656</v>
      </c>
    </row>
    <row r="548" customFormat="false" ht="15" hidden="false" customHeight="false" outlineLevel="0" collapsed="false">
      <c r="A548" s="9" t="s">
        <v>34</v>
      </c>
      <c r="B548" s="9" t="s">
        <v>26</v>
      </c>
      <c r="C548" s="10" t="s">
        <v>652</v>
      </c>
      <c r="D548" s="10" t="s">
        <v>1709</v>
      </c>
      <c r="E548" s="10" t="s">
        <v>1639</v>
      </c>
      <c r="F548" s="9" t="n">
        <v>12</v>
      </c>
      <c r="G548" s="10" t="s">
        <v>81</v>
      </c>
    </row>
    <row r="549" customFormat="false" ht="15" hidden="false" customHeight="false" outlineLevel="0" collapsed="false">
      <c r="A549" s="9" t="s">
        <v>34</v>
      </c>
      <c r="B549" s="9" t="s">
        <v>26</v>
      </c>
      <c r="C549" s="10" t="s">
        <v>652</v>
      </c>
      <c r="D549" s="10" t="s">
        <v>1710</v>
      </c>
      <c r="E549" s="10" t="s">
        <v>1639</v>
      </c>
      <c r="F549" s="9" t="n">
        <v>8.5</v>
      </c>
      <c r="G549" s="10" t="s">
        <v>675</v>
      </c>
    </row>
    <row r="550" customFormat="false" ht="15" hidden="false" customHeight="false" outlineLevel="0" collapsed="false">
      <c r="A550" s="9" t="s">
        <v>34</v>
      </c>
      <c r="B550" s="9" t="s">
        <v>26</v>
      </c>
      <c r="C550" s="10" t="s">
        <v>652</v>
      </c>
      <c r="D550" s="9" t="s">
        <v>1711</v>
      </c>
      <c r="E550" s="10" t="s">
        <v>1639</v>
      </c>
      <c r="F550" s="9" t="n">
        <v>10157</v>
      </c>
      <c r="G550" s="10" t="s">
        <v>677</v>
      </c>
    </row>
    <row r="551" customFormat="false" ht="15" hidden="false" customHeight="false" outlineLevel="0" collapsed="false">
      <c r="A551" s="9" t="s">
        <v>34</v>
      </c>
      <c r="B551" s="9" t="s">
        <v>26</v>
      </c>
      <c r="C551" s="10" t="s">
        <v>652</v>
      </c>
      <c r="D551" s="9" t="s">
        <v>1712</v>
      </c>
      <c r="E551" s="10" t="s">
        <v>1639</v>
      </c>
      <c r="F551" s="9" t="n">
        <v>676.2</v>
      </c>
      <c r="G551" s="10" t="s">
        <v>677</v>
      </c>
    </row>
    <row r="552" customFormat="false" ht="15" hidden="false" customHeight="false" outlineLevel="0" collapsed="false">
      <c r="A552" s="9" t="s">
        <v>34</v>
      </c>
      <c r="B552" s="9" t="s">
        <v>26</v>
      </c>
      <c r="C552" s="10" t="s">
        <v>652</v>
      </c>
      <c r="D552" s="9" t="s">
        <v>1713</v>
      </c>
      <c r="E552" s="10" t="s">
        <v>1639</v>
      </c>
      <c r="F552" s="9" t="n">
        <v>10229.7</v>
      </c>
      <c r="G552" s="10" t="s">
        <v>680</v>
      </c>
    </row>
    <row r="553" customFormat="false" ht="15" hidden="false" customHeight="false" outlineLevel="0" collapsed="false">
      <c r="A553" s="9" t="s">
        <v>34</v>
      </c>
      <c r="B553" s="9" t="s">
        <v>26</v>
      </c>
      <c r="C553" s="10" t="s">
        <v>652</v>
      </c>
      <c r="D553" s="9" t="s">
        <v>1714</v>
      </c>
      <c r="E553" s="10" t="s">
        <v>1639</v>
      </c>
      <c r="F553" s="9" t="n">
        <v>10221.2</v>
      </c>
      <c r="G553" s="10" t="s">
        <v>680</v>
      </c>
    </row>
    <row r="554" customFormat="false" ht="15" hidden="false" customHeight="false" outlineLevel="0" collapsed="false">
      <c r="A554" s="9" t="s">
        <v>34</v>
      </c>
      <c r="B554" s="9" t="s">
        <v>18</v>
      </c>
      <c r="C554" s="10" t="s">
        <v>79</v>
      </c>
      <c r="D554" s="10" t="s">
        <v>1715</v>
      </c>
      <c r="E554" s="10" t="s">
        <v>1639</v>
      </c>
      <c r="F554" s="9" t="n">
        <v>381.6</v>
      </c>
      <c r="G554" s="10" t="s">
        <v>81</v>
      </c>
    </row>
    <row r="555" customFormat="false" ht="15" hidden="false" customHeight="false" outlineLevel="0" collapsed="false">
      <c r="A555" s="9" t="s">
        <v>34</v>
      </c>
      <c r="B555" s="9" t="s">
        <v>20</v>
      </c>
      <c r="C555" s="10" t="s">
        <v>281</v>
      </c>
      <c r="D555" s="10" t="s">
        <v>1716</v>
      </c>
      <c r="E555" s="10" t="s">
        <v>1639</v>
      </c>
      <c r="F555" s="9" t="n">
        <v>24.8</v>
      </c>
      <c r="G555" s="10" t="s">
        <v>283</v>
      </c>
    </row>
    <row r="556" customFormat="false" ht="15" hidden="false" customHeight="false" outlineLevel="0" collapsed="false">
      <c r="A556" s="9" t="s">
        <v>34</v>
      </c>
      <c r="B556" s="9" t="s">
        <v>20</v>
      </c>
      <c r="C556" s="10" t="s">
        <v>281</v>
      </c>
      <c r="D556" s="10" t="s">
        <v>1717</v>
      </c>
      <c r="E556" s="10" t="s">
        <v>1639</v>
      </c>
      <c r="F556" s="9" t="n">
        <v>20.5</v>
      </c>
      <c r="G556" s="10" t="s">
        <v>285</v>
      </c>
    </row>
    <row r="557" customFormat="false" ht="15" hidden="false" customHeight="false" outlineLevel="0" collapsed="false">
      <c r="A557" s="9" t="s">
        <v>34</v>
      </c>
      <c r="B557" s="9" t="s">
        <v>20</v>
      </c>
      <c r="C557" s="10" t="s">
        <v>281</v>
      </c>
      <c r="D557" s="10" t="s">
        <v>1718</v>
      </c>
      <c r="E557" s="10" t="s">
        <v>1639</v>
      </c>
      <c r="F557" s="9" t="n">
        <v>117.3</v>
      </c>
      <c r="G557" s="10" t="s">
        <v>283</v>
      </c>
    </row>
    <row r="558" customFormat="false" ht="15" hidden="false" customHeight="false" outlineLevel="0" collapsed="false">
      <c r="A558" s="9" t="s">
        <v>34</v>
      </c>
      <c r="B558" s="9" t="s">
        <v>20</v>
      </c>
      <c r="C558" s="10" t="s">
        <v>281</v>
      </c>
      <c r="D558" s="10" t="s">
        <v>1719</v>
      </c>
      <c r="E558" s="10" t="s">
        <v>1639</v>
      </c>
      <c r="F558" s="9" t="n">
        <v>75.8</v>
      </c>
      <c r="G558" s="10" t="s">
        <v>288</v>
      </c>
    </row>
    <row r="559" customFormat="false" ht="15" hidden="false" customHeight="false" outlineLevel="0" collapsed="false">
      <c r="A559" s="9" t="s">
        <v>34</v>
      </c>
      <c r="B559" s="9" t="s">
        <v>20</v>
      </c>
      <c r="C559" s="10" t="s">
        <v>281</v>
      </c>
      <c r="D559" s="10" t="s">
        <v>1720</v>
      </c>
      <c r="E559" s="10" t="s">
        <v>1639</v>
      </c>
      <c r="F559" s="9" t="n">
        <v>3280.6</v>
      </c>
      <c r="G559" s="10" t="s">
        <v>290</v>
      </c>
    </row>
    <row r="560" customFormat="false" ht="15" hidden="false" customHeight="false" outlineLevel="0" collapsed="false">
      <c r="A560" s="9" t="s">
        <v>34</v>
      </c>
      <c r="B560" s="9" t="s">
        <v>20</v>
      </c>
      <c r="C560" s="10" t="s">
        <v>281</v>
      </c>
      <c r="D560" s="10" t="s">
        <v>1721</v>
      </c>
      <c r="E560" s="10" t="s">
        <v>1639</v>
      </c>
      <c r="F560" s="9" t="n">
        <v>36.2</v>
      </c>
      <c r="G560" s="10" t="s">
        <v>288</v>
      </c>
    </row>
    <row r="561" customFormat="false" ht="15" hidden="false" customHeight="false" outlineLevel="0" collapsed="false">
      <c r="A561" s="9" t="s">
        <v>34</v>
      </c>
      <c r="B561" s="9" t="s">
        <v>20</v>
      </c>
      <c r="C561" s="10" t="s">
        <v>281</v>
      </c>
      <c r="D561" s="10" t="s">
        <v>1722</v>
      </c>
      <c r="E561" s="10" t="s">
        <v>1639</v>
      </c>
      <c r="F561" s="9" t="n">
        <v>4933.9</v>
      </c>
      <c r="G561" s="10" t="s">
        <v>292</v>
      </c>
    </row>
    <row r="562" customFormat="false" ht="15" hidden="false" customHeight="false" outlineLevel="0" collapsed="false">
      <c r="A562" s="9" t="s">
        <v>34</v>
      </c>
      <c r="B562" s="9" t="s">
        <v>20</v>
      </c>
      <c r="C562" s="10" t="s">
        <v>281</v>
      </c>
      <c r="D562" s="10" t="s">
        <v>1723</v>
      </c>
      <c r="E562" s="10" t="s">
        <v>1639</v>
      </c>
      <c r="F562" s="9" t="n">
        <v>4933.9</v>
      </c>
      <c r="G562" s="10" t="s">
        <v>292</v>
      </c>
    </row>
    <row r="563" customFormat="false" ht="15" hidden="false" customHeight="false" outlineLevel="0" collapsed="false">
      <c r="A563" s="9" t="s">
        <v>34</v>
      </c>
      <c r="B563" s="9" t="s">
        <v>20</v>
      </c>
      <c r="C563" s="10" t="s">
        <v>281</v>
      </c>
      <c r="D563" s="10" t="s">
        <v>1724</v>
      </c>
      <c r="E563" s="10" t="s">
        <v>1639</v>
      </c>
      <c r="F563" s="9" t="n">
        <v>3167</v>
      </c>
      <c r="G563" s="10" t="s">
        <v>292</v>
      </c>
    </row>
    <row r="564" customFormat="false" ht="15" hidden="false" customHeight="false" outlineLevel="0" collapsed="false">
      <c r="A564" s="9" t="s">
        <v>34</v>
      </c>
      <c r="B564" s="9" t="s">
        <v>20</v>
      </c>
      <c r="C564" s="10" t="s">
        <v>281</v>
      </c>
      <c r="D564" s="10" t="s">
        <v>1725</v>
      </c>
      <c r="E564" s="10" t="s">
        <v>1639</v>
      </c>
      <c r="F564" s="9" t="n">
        <v>7152.7</v>
      </c>
      <c r="G564" s="10" t="s">
        <v>295</v>
      </c>
    </row>
    <row r="565" customFormat="false" ht="15" hidden="false" customHeight="false" outlineLevel="0" collapsed="false">
      <c r="A565" s="9" t="s">
        <v>34</v>
      </c>
      <c r="B565" s="9" t="s">
        <v>20</v>
      </c>
      <c r="C565" s="10" t="s">
        <v>281</v>
      </c>
      <c r="D565" s="9" t="s">
        <v>1726</v>
      </c>
      <c r="E565" s="10" t="s">
        <v>1639</v>
      </c>
      <c r="F565" s="9" t="n">
        <v>10.7</v>
      </c>
      <c r="G565" s="10" t="s">
        <v>304</v>
      </c>
    </row>
    <row r="566" customFormat="false" ht="15" hidden="false" customHeight="false" outlineLevel="0" collapsed="false">
      <c r="A566" s="9" t="s">
        <v>34</v>
      </c>
      <c r="B566" s="9" t="s">
        <v>20</v>
      </c>
      <c r="C566" s="10" t="s">
        <v>281</v>
      </c>
      <c r="D566" s="9" t="s">
        <v>1727</v>
      </c>
      <c r="E566" s="10" t="s">
        <v>1639</v>
      </c>
      <c r="F566" s="9" t="n">
        <v>12.9</v>
      </c>
      <c r="G566" s="10" t="s">
        <v>304</v>
      </c>
    </row>
    <row r="567" customFormat="false" ht="15" hidden="false" customHeight="false" outlineLevel="0" collapsed="false">
      <c r="A567" s="9" t="s">
        <v>34</v>
      </c>
      <c r="B567" s="9" t="s">
        <v>22</v>
      </c>
      <c r="C567" s="10" t="s">
        <v>366</v>
      </c>
      <c r="D567" s="10" t="s">
        <v>1728</v>
      </c>
      <c r="E567" s="10" t="s">
        <v>1639</v>
      </c>
      <c r="F567" s="9" t="n">
        <v>276.9</v>
      </c>
      <c r="G567" s="10" t="s">
        <v>1729</v>
      </c>
    </row>
    <row r="568" customFormat="false" ht="15" hidden="false" customHeight="false" outlineLevel="0" collapsed="false">
      <c r="A568" s="9" t="s">
        <v>34</v>
      </c>
      <c r="B568" s="9" t="s">
        <v>22</v>
      </c>
      <c r="C568" s="10" t="s">
        <v>366</v>
      </c>
      <c r="D568" s="10" t="s">
        <v>1730</v>
      </c>
      <c r="E568" s="10" t="s">
        <v>1639</v>
      </c>
      <c r="F568" s="9" t="n">
        <v>636.5</v>
      </c>
      <c r="G568" s="10" t="s">
        <v>1731</v>
      </c>
    </row>
    <row r="569" customFormat="false" ht="15" hidden="false" customHeight="false" outlineLevel="0" collapsed="false">
      <c r="A569" s="9" t="s">
        <v>34</v>
      </c>
      <c r="B569" s="9" t="s">
        <v>22</v>
      </c>
      <c r="C569" s="10" t="s">
        <v>366</v>
      </c>
      <c r="D569" s="9" t="s">
        <v>1732</v>
      </c>
      <c r="E569" s="10" t="s">
        <v>1639</v>
      </c>
      <c r="F569" s="9" t="n">
        <v>308</v>
      </c>
      <c r="G569" s="10" t="s">
        <v>1733</v>
      </c>
    </row>
    <row r="570" customFormat="false" ht="15" hidden="false" customHeight="false" outlineLevel="0" collapsed="false">
      <c r="A570" s="9" t="s">
        <v>34</v>
      </c>
      <c r="B570" s="9" t="s">
        <v>25</v>
      </c>
      <c r="C570" s="10" t="s">
        <v>461</v>
      </c>
      <c r="D570" s="10" t="s">
        <v>1734</v>
      </c>
      <c r="E570" s="10" t="s">
        <v>1639</v>
      </c>
      <c r="F570" s="9" t="n">
        <v>1455</v>
      </c>
      <c r="G570" s="10" t="s">
        <v>464</v>
      </c>
    </row>
    <row r="571" customFormat="false" ht="15" hidden="false" customHeight="false" outlineLevel="0" collapsed="false">
      <c r="A571" s="9" t="s">
        <v>34</v>
      </c>
      <c r="B571" s="9" t="s">
        <v>25</v>
      </c>
      <c r="C571" s="10" t="s">
        <v>461</v>
      </c>
      <c r="D571" s="10" t="s">
        <v>1735</v>
      </c>
      <c r="E571" s="10" t="s">
        <v>1639</v>
      </c>
      <c r="F571" s="9" t="n">
        <v>12.2</v>
      </c>
      <c r="G571" s="10" t="s">
        <v>469</v>
      </c>
    </row>
    <row r="572" customFormat="false" ht="15" hidden="false" customHeight="false" outlineLevel="0" collapsed="false">
      <c r="A572" s="9" t="s">
        <v>34</v>
      </c>
      <c r="B572" s="9" t="s">
        <v>25</v>
      </c>
      <c r="C572" s="10" t="s">
        <v>461</v>
      </c>
      <c r="D572" s="10" t="s">
        <v>1736</v>
      </c>
      <c r="E572" s="10" t="s">
        <v>1639</v>
      </c>
      <c r="F572" s="9" t="n">
        <v>262.8</v>
      </c>
      <c r="G572" s="10" t="s">
        <v>469</v>
      </c>
    </row>
    <row r="573" customFormat="false" ht="15" hidden="false" customHeight="false" outlineLevel="0" collapsed="false">
      <c r="A573" s="9" t="s">
        <v>34</v>
      </c>
      <c r="B573" s="9" t="s">
        <v>25</v>
      </c>
      <c r="C573" s="10" t="s">
        <v>474</v>
      </c>
      <c r="D573" s="10" t="s">
        <v>1737</v>
      </c>
      <c r="E573" s="10" t="s">
        <v>1639</v>
      </c>
      <c r="F573" s="9" t="n">
        <v>101.6</v>
      </c>
      <c r="G573" s="10" t="s">
        <v>476</v>
      </c>
    </row>
    <row r="574" customFormat="false" ht="15" hidden="false" customHeight="false" outlineLevel="0" collapsed="false">
      <c r="A574" s="9" t="s">
        <v>34</v>
      </c>
      <c r="B574" s="9" t="s">
        <v>25</v>
      </c>
      <c r="C574" s="10" t="s">
        <v>474</v>
      </c>
      <c r="D574" s="10" t="s">
        <v>1738</v>
      </c>
      <c r="E574" s="10" t="s">
        <v>1639</v>
      </c>
      <c r="F574" s="9" t="n">
        <v>184.4</v>
      </c>
      <c r="G574" s="10" t="s">
        <v>478</v>
      </c>
    </row>
    <row r="575" customFormat="false" ht="15" hidden="false" customHeight="false" outlineLevel="0" collapsed="false">
      <c r="A575" s="9" t="s">
        <v>34</v>
      </c>
      <c r="B575" s="9" t="s">
        <v>25</v>
      </c>
      <c r="C575" s="10" t="s">
        <v>474</v>
      </c>
      <c r="D575" s="10" t="s">
        <v>1739</v>
      </c>
      <c r="E575" s="10" t="s">
        <v>1639</v>
      </c>
      <c r="F575" s="9" t="n">
        <v>10.8</v>
      </c>
      <c r="G575" s="10" t="s">
        <v>480</v>
      </c>
    </row>
    <row r="576" customFormat="false" ht="15" hidden="false" customHeight="false" outlineLevel="0" collapsed="false">
      <c r="A576" s="9" t="s">
        <v>34</v>
      </c>
      <c r="B576" s="9" t="s">
        <v>25</v>
      </c>
      <c r="C576" s="10" t="s">
        <v>474</v>
      </c>
      <c r="D576" s="10" t="s">
        <v>1740</v>
      </c>
      <c r="E576" s="10" t="s">
        <v>1639</v>
      </c>
      <c r="F576" s="9" t="n">
        <v>5.7</v>
      </c>
      <c r="G576" s="10" t="s">
        <v>482</v>
      </c>
    </row>
    <row r="577" customFormat="false" ht="15" hidden="false" customHeight="false" outlineLevel="0" collapsed="false">
      <c r="A577" s="9" t="s">
        <v>34</v>
      </c>
      <c r="B577" s="9" t="s">
        <v>25</v>
      </c>
      <c r="C577" s="10" t="s">
        <v>474</v>
      </c>
      <c r="D577" s="10" t="s">
        <v>1741</v>
      </c>
      <c r="E577" s="10" t="s">
        <v>1639</v>
      </c>
      <c r="F577" s="9" t="n">
        <v>27.4</v>
      </c>
      <c r="G577" s="10" t="s">
        <v>346</v>
      </c>
    </row>
    <row r="578" customFormat="false" ht="15" hidden="false" customHeight="false" outlineLevel="0" collapsed="false">
      <c r="A578" s="9" t="s">
        <v>34</v>
      </c>
      <c r="B578" s="9" t="s">
        <v>25</v>
      </c>
      <c r="C578" s="10" t="s">
        <v>474</v>
      </c>
      <c r="D578" s="10" t="s">
        <v>1742</v>
      </c>
      <c r="E578" s="10" t="s">
        <v>1639</v>
      </c>
      <c r="F578" s="9" t="n">
        <v>10.1</v>
      </c>
      <c r="G578" s="10" t="s">
        <v>472</v>
      </c>
    </row>
    <row r="579" customFormat="false" ht="15" hidden="false" customHeight="false" outlineLevel="0" collapsed="false">
      <c r="A579" s="9" t="s">
        <v>34</v>
      </c>
      <c r="B579" s="9" t="s">
        <v>25</v>
      </c>
      <c r="C579" s="10" t="s">
        <v>474</v>
      </c>
      <c r="D579" s="10" t="s">
        <v>1743</v>
      </c>
      <c r="E579" s="10" t="s">
        <v>1639</v>
      </c>
      <c r="F579" s="9" t="n">
        <v>7.5</v>
      </c>
      <c r="G579" s="10" t="s">
        <v>488</v>
      </c>
    </row>
    <row r="580" customFormat="false" ht="15" hidden="false" customHeight="false" outlineLevel="0" collapsed="false">
      <c r="A580" s="9" t="s">
        <v>34</v>
      </c>
      <c r="B580" s="9" t="s">
        <v>25</v>
      </c>
      <c r="C580" s="10" t="s">
        <v>474</v>
      </c>
      <c r="D580" s="10" t="s">
        <v>1744</v>
      </c>
      <c r="E580" s="10" t="s">
        <v>1639</v>
      </c>
      <c r="F580" s="9" t="n">
        <v>8.7</v>
      </c>
      <c r="G580" s="10" t="s">
        <v>478</v>
      </c>
    </row>
    <row r="581" customFormat="false" ht="15" hidden="false" customHeight="false" outlineLevel="0" collapsed="false">
      <c r="A581" s="9" t="s">
        <v>34</v>
      </c>
      <c r="B581" s="9" t="s">
        <v>25</v>
      </c>
      <c r="C581" s="10" t="s">
        <v>474</v>
      </c>
      <c r="D581" s="10" t="s">
        <v>1745</v>
      </c>
      <c r="E581" s="10" t="s">
        <v>1639</v>
      </c>
      <c r="F581" s="9" t="n">
        <v>24.5</v>
      </c>
      <c r="G581" s="10" t="s">
        <v>491</v>
      </c>
    </row>
    <row r="582" customFormat="false" ht="15" hidden="false" customHeight="false" outlineLevel="0" collapsed="false">
      <c r="A582" s="9" t="s">
        <v>34</v>
      </c>
      <c r="B582" s="9" t="s">
        <v>25</v>
      </c>
      <c r="C582" s="10" t="s">
        <v>474</v>
      </c>
      <c r="D582" s="10" t="s">
        <v>1746</v>
      </c>
      <c r="E582" s="10" t="s">
        <v>1639</v>
      </c>
      <c r="F582" s="9" t="n">
        <v>112.1</v>
      </c>
      <c r="G582" s="10" t="s">
        <v>493</v>
      </c>
    </row>
    <row r="583" customFormat="false" ht="15" hidden="false" customHeight="false" outlineLevel="0" collapsed="false">
      <c r="A583" s="9" t="s">
        <v>34</v>
      </c>
      <c r="B583" s="9" t="s">
        <v>25</v>
      </c>
      <c r="C583" s="10" t="s">
        <v>474</v>
      </c>
      <c r="D583" s="10" t="s">
        <v>1747</v>
      </c>
      <c r="E583" s="10" t="s">
        <v>1639</v>
      </c>
      <c r="F583" s="9" t="n">
        <v>98.5</v>
      </c>
      <c r="G583" s="10" t="s">
        <v>495</v>
      </c>
    </row>
    <row r="584" customFormat="false" ht="15" hidden="false" customHeight="false" outlineLevel="0" collapsed="false">
      <c r="A584" s="9" t="s">
        <v>34</v>
      </c>
      <c r="B584" s="9" t="s">
        <v>25</v>
      </c>
      <c r="C584" s="10" t="s">
        <v>474</v>
      </c>
      <c r="D584" s="10" t="s">
        <v>1748</v>
      </c>
      <c r="E584" s="10" t="s">
        <v>1639</v>
      </c>
      <c r="F584" s="9" t="n">
        <v>471</v>
      </c>
      <c r="G584" s="10" t="s">
        <v>498</v>
      </c>
    </row>
    <row r="585" customFormat="false" ht="15" hidden="false" customHeight="false" outlineLevel="0" collapsed="false">
      <c r="A585" s="9" t="s">
        <v>34</v>
      </c>
      <c r="B585" s="9" t="s">
        <v>25</v>
      </c>
      <c r="C585" s="10" t="s">
        <v>474</v>
      </c>
      <c r="D585" s="10" t="s">
        <v>1749</v>
      </c>
      <c r="E585" s="10" t="s">
        <v>1639</v>
      </c>
      <c r="F585" s="9" t="n">
        <v>19.5</v>
      </c>
      <c r="G585" s="10" t="s">
        <v>493</v>
      </c>
    </row>
    <row r="586" customFormat="false" ht="15" hidden="false" customHeight="false" outlineLevel="0" collapsed="false">
      <c r="A586" s="9" t="s">
        <v>34</v>
      </c>
      <c r="B586" s="9" t="s">
        <v>25</v>
      </c>
      <c r="C586" s="10" t="s">
        <v>474</v>
      </c>
      <c r="D586" s="10" t="s">
        <v>1750</v>
      </c>
      <c r="E586" s="10" t="s">
        <v>1639</v>
      </c>
      <c r="F586" s="9" t="n">
        <v>25663.6</v>
      </c>
      <c r="G586" s="10" t="s">
        <v>502</v>
      </c>
    </row>
    <row r="587" customFormat="false" ht="15" hidden="false" customHeight="false" outlineLevel="0" collapsed="false">
      <c r="A587" s="9" t="s">
        <v>34</v>
      </c>
      <c r="B587" s="9" t="s">
        <v>25</v>
      </c>
      <c r="C587" s="10" t="s">
        <v>474</v>
      </c>
      <c r="D587" s="10" t="s">
        <v>1751</v>
      </c>
      <c r="E587" s="10" t="s">
        <v>1639</v>
      </c>
      <c r="F587" s="9" t="n">
        <v>7472.3</v>
      </c>
      <c r="G587" s="10" t="s">
        <v>504</v>
      </c>
    </row>
    <row r="588" customFormat="false" ht="15" hidden="false" customHeight="false" outlineLevel="0" collapsed="false">
      <c r="A588" s="9" t="s">
        <v>34</v>
      </c>
      <c r="B588" s="9" t="s">
        <v>25</v>
      </c>
      <c r="C588" s="10" t="s">
        <v>474</v>
      </c>
      <c r="D588" s="10" t="s">
        <v>1752</v>
      </c>
      <c r="E588" s="10" t="s">
        <v>1639</v>
      </c>
      <c r="F588" s="9" t="n">
        <v>36034.5</v>
      </c>
      <c r="G588" s="10" t="s">
        <v>504</v>
      </c>
    </row>
    <row r="589" customFormat="false" ht="15" hidden="false" customHeight="false" outlineLevel="0" collapsed="false">
      <c r="A589" s="9" t="s">
        <v>34</v>
      </c>
      <c r="B589" s="9" t="s">
        <v>25</v>
      </c>
      <c r="C589" s="10" t="s">
        <v>512</v>
      </c>
      <c r="D589" s="10" t="s">
        <v>1753</v>
      </c>
      <c r="E589" s="10" t="s">
        <v>1639</v>
      </c>
      <c r="F589" s="9" t="n">
        <v>1185.9</v>
      </c>
      <c r="G589" s="10" t="s">
        <v>1195</v>
      </c>
    </row>
    <row r="590" customFormat="false" ht="15" hidden="false" customHeight="false" outlineLevel="0" collapsed="false">
      <c r="A590" s="9" t="s">
        <v>34</v>
      </c>
      <c r="B590" s="9" t="s">
        <v>25</v>
      </c>
      <c r="C590" s="10" t="s">
        <v>512</v>
      </c>
      <c r="D590" s="10" t="s">
        <v>1754</v>
      </c>
      <c r="E590" s="10" t="s">
        <v>1639</v>
      </c>
      <c r="F590" s="9" t="n">
        <v>1238.5</v>
      </c>
      <c r="G590" s="10" t="s">
        <v>1195</v>
      </c>
    </row>
    <row r="591" customFormat="false" ht="15" hidden="false" customHeight="false" outlineLevel="0" collapsed="false">
      <c r="A591" s="9" t="s">
        <v>34</v>
      </c>
      <c r="B591" s="9" t="s">
        <v>25</v>
      </c>
      <c r="C591" s="10" t="s">
        <v>512</v>
      </c>
      <c r="D591" s="10" t="s">
        <v>1755</v>
      </c>
      <c r="E591" s="10" t="s">
        <v>1639</v>
      </c>
      <c r="F591" s="9" t="n">
        <v>327</v>
      </c>
      <c r="G591" s="10" t="s">
        <v>1195</v>
      </c>
    </row>
    <row r="592" customFormat="false" ht="15" hidden="false" customHeight="false" outlineLevel="0" collapsed="false">
      <c r="A592" s="9" t="s">
        <v>34</v>
      </c>
      <c r="B592" s="9" t="s">
        <v>25</v>
      </c>
      <c r="C592" s="10" t="s">
        <v>512</v>
      </c>
      <c r="D592" s="10" t="s">
        <v>1756</v>
      </c>
      <c r="E592" s="10" t="s">
        <v>1639</v>
      </c>
      <c r="F592" s="9" t="n">
        <v>437.7</v>
      </c>
      <c r="G592" s="10" t="s">
        <v>1195</v>
      </c>
    </row>
    <row r="593" customFormat="false" ht="15" hidden="false" customHeight="false" outlineLevel="0" collapsed="false">
      <c r="A593" s="9" t="s">
        <v>34</v>
      </c>
      <c r="B593" s="9" t="s">
        <v>25</v>
      </c>
      <c r="C593" s="10" t="s">
        <v>512</v>
      </c>
      <c r="D593" s="10" t="s">
        <v>1757</v>
      </c>
      <c r="E593" s="10" t="s">
        <v>1639</v>
      </c>
      <c r="F593" s="9" t="n">
        <v>509.3</v>
      </c>
      <c r="G593" s="10" t="s">
        <v>1195</v>
      </c>
    </row>
    <row r="594" customFormat="false" ht="15" hidden="false" customHeight="false" outlineLevel="0" collapsed="false">
      <c r="A594" s="9" t="s">
        <v>34</v>
      </c>
      <c r="B594" s="9" t="s">
        <v>25</v>
      </c>
      <c r="C594" s="10" t="s">
        <v>512</v>
      </c>
      <c r="D594" s="10" t="s">
        <v>1758</v>
      </c>
      <c r="E594" s="10" t="s">
        <v>1639</v>
      </c>
      <c r="F594" s="9" t="n">
        <v>916.1</v>
      </c>
      <c r="G594" s="10" t="s">
        <v>1195</v>
      </c>
    </row>
    <row r="595" customFormat="false" ht="15" hidden="false" customHeight="false" outlineLevel="0" collapsed="false">
      <c r="A595" s="9" t="s">
        <v>34</v>
      </c>
      <c r="B595" s="9" t="s">
        <v>25</v>
      </c>
      <c r="C595" s="10" t="s">
        <v>519</v>
      </c>
      <c r="D595" s="10" t="s">
        <v>1753</v>
      </c>
      <c r="E595" s="10" t="s">
        <v>1639</v>
      </c>
      <c r="F595" s="9" t="n">
        <v>713.9</v>
      </c>
      <c r="G595" s="10" t="s">
        <v>1313</v>
      </c>
    </row>
    <row r="596" customFormat="false" ht="15" hidden="false" customHeight="false" outlineLevel="0" collapsed="false">
      <c r="A596" s="9" t="s">
        <v>34</v>
      </c>
      <c r="B596" s="9" t="s">
        <v>25</v>
      </c>
      <c r="C596" s="10" t="s">
        <v>519</v>
      </c>
      <c r="D596" s="10" t="s">
        <v>1759</v>
      </c>
      <c r="E596" s="10" t="s">
        <v>1639</v>
      </c>
      <c r="F596" s="9" t="n">
        <v>1107.6</v>
      </c>
      <c r="G596" s="10" t="s">
        <v>502</v>
      </c>
    </row>
    <row r="597" customFormat="false" ht="15" hidden="false" customHeight="false" outlineLevel="0" collapsed="false">
      <c r="A597" s="9" t="s">
        <v>34</v>
      </c>
      <c r="B597" s="9" t="s">
        <v>25</v>
      </c>
      <c r="C597" s="10" t="s">
        <v>519</v>
      </c>
      <c r="D597" s="10" t="s">
        <v>1760</v>
      </c>
      <c r="E597" s="10" t="s">
        <v>1639</v>
      </c>
      <c r="F597" s="9" t="n">
        <v>1196.4</v>
      </c>
      <c r="G597" s="10" t="s">
        <v>524</v>
      </c>
    </row>
    <row r="598" customFormat="false" ht="15" hidden="false" customHeight="false" outlineLevel="0" collapsed="false">
      <c r="A598" s="9" t="s">
        <v>34</v>
      </c>
      <c r="B598" s="9" t="s">
        <v>25</v>
      </c>
      <c r="C598" s="10" t="s">
        <v>519</v>
      </c>
      <c r="D598" s="10" t="s">
        <v>1761</v>
      </c>
      <c r="E598" s="10" t="s">
        <v>1639</v>
      </c>
      <c r="F598" s="9" t="n">
        <v>1247.6</v>
      </c>
      <c r="G598" s="10" t="s">
        <v>529</v>
      </c>
    </row>
    <row r="599" customFormat="false" ht="15" hidden="false" customHeight="false" outlineLevel="0" collapsed="false">
      <c r="A599" s="9" t="s">
        <v>34</v>
      </c>
      <c r="B599" s="9" t="s">
        <v>25</v>
      </c>
      <c r="C599" s="10" t="s">
        <v>531</v>
      </c>
      <c r="D599" s="10" t="s">
        <v>1762</v>
      </c>
      <c r="E599" s="10" t="s">
        <v>1639</v>
      </c>
      <c r="F599" s="9" t="n">
        <v>1343.9</v>
      </c>
      <c r="G599" s="10" t="s">
        <v>418</v>
      </c>
    </row>
    <row r="600" customFormat="false" ht="15" hidden="false" customHeight="false" outlineLevel="0" collapsed="false">
      <c r="A600" s="9" t="s">
        <v>34</v>
      </c>
      <c r="B600" s="9" t="s">
        <v>25</v>
      </c>
      <c r="C600" s="10" t="s">
        <v>531</v>
      </c>
      <c r="D600" s="10" t="s">
        <v>1763</v>
      </c>
      <c r="E600" s="10" t="s">
        <v>1639</v>
      </c>
      <c r="F600" s="9" t="n">
        <v>875.8</v>
      </c>
      <c r="G600" s="10" t="s">
        <v>534</v>
      </c>
    </row>
    <row r="601" customFormat="false" ht="15" hidden="false" customHeight="false" outlineLevel="0" collapsed="false">
      <c r="A601" s="9" t="s">
        <v>34</v>
      </c>
      <c r="B601" s="9" t="s">
        <v>23</v>
      </c>
      <c r="C601" s="10" t="s">
        <v>66</v>
      </c>
      <c r="D601" s="10" t="s">
        <v>1764</v>
      </c>
      <c r="E601" s="10" t="s">
        <v>1639</v>
      </c>
      <c r="F601" s="9" t="n">
        <v>125.7</v>
      </c>
      <c r="G601" s="10" t="s">
        <v>414</v>
      </c>
    </row>
    <row r="602" customFormat="false" ht="15" hidden="false" customHeight="false" outlineLevel="0" collapsed="false">
      <c r="A602" s="9" t="s">
        <v>34</v>
      </c>
      <c r="B602" s="9" t="s">
        <v>18</v>
      </c>
      <c r="C602" s="10" t="s">
        <v>66</v>
      </c>
      <c r="D602" s="10" t="s">
        <v>1765</v>
      </c>
      <c r="E602" s="10" t="s">
        <v>1639</v>
      </c>
      <c r="F602" s="9" t="n">
        <v>8.9</v>
      </c>
      <c r="G602" s="10" t="s">
        <v>68</v>
      </c>
    </row>
    <row r="603" customFormat="false" ht="15" hidden="false" customHeight="false" outlineLevel="0" collapsed="false">
      <c r="A603" s="9" t="s">
        <v>34</v>
      </c>
      <c r="B603" s="9" t="s">
        <v>24</v>
      </c>
      <c r="C603" s="10" t="s">
        <v>431</v>
      </c>
      <c r="D603" s="10" t="s">
        <v>1766</v>
      </c>
      <c r="E603" s="10" t="s">
        <v>1639</v>
      </c>
      <c r="F603" s="9" t="n">
        <v>382.2</v>
      </c>
      <c r="G603" s="10" t="s">
        <v>436</v>
      </c>
    </row>
    <row r="604" customFormat="false" ht="15" hidden="false" customHeight="false" outlineLevel="0" collapsed="false">
      <c r="A604" s="9" t="s">
        <v>34</v>
      </c>
      <c r="B604" s="9" t="s">
        <v>24</v>
      </c>
      <c r="C604" s="10" t="s">
        <v>431</v>
      </c>
      <c r="D604" s="9" t="s">
        <v>1767</v>
      </c>
      <c r="E604" s="10" t="s">
        <v>1639</v>
      </c>
      <c r="F604" s="9" t="n">
        <v>28099.9</v>
      </c>
      <c r="G604" s="10" t="s">
        <v>109</v>
      </c>
    </row>
    <row r="605" customFormat="false" ht="15" hidden="false" customHeight="false" outlineLevel="0" collapsed="false">
      <c r="A605" s="9" t="s">
        <v>34</v>
      </c>
      <c r="B605" s="9" t="s">
        <v>24</v>
      </c>
      <c r="C605" s="10" t="s">
        <v>431</v>
      </c>
      <c r="D605" s="9" t="s">
        <v>1768</v>
      </c>
      <c r="E605" s="10" t="s">
        <v>1639</v>
      </c>
      <c r="F605" s="9" t="n">
        <v>34552.5</v>
      </c>
      <c r="G605" s="10" t="s">
        <v>109</v>
      </c>
    </row>
    <row r="606" customFormat="false" ht="15" hidden="false" customHeight="false" outlineLevel="0" collapsed="false">
      <c r="A606" s="9" t="s">
        <v>34</v>
      </c>
      <c r="B606" s="9" t="s">
        <v>24</v>
      </c>
      <c r="C606" s="10" t="s">
        <v>444</v>
      </c>
      <c r="D606" s="10" t="s">
        <v>1769</v>
      </c>
      <c r="E606" s="10" t="s">
        <v>1639</v>
      </c>
      <c r="F606" s="9" t="n">
        <v>23.2</v>
      </c>
      <c r="G606" s="10" t="s">
        <v>446</v>
      </c>
    </row>
    <row r="607" customFormat="false" ht="15" hidden="false" customHeight="false" outlineLevel="0" collapsed="false">
      <c r="A607" s="9" t="s">
        <v>34</v>
      </c>
      <c r="B607" s="9" t="s">
        <v>24</v>
      </c>
      <c r="C607" s="10" t="s">
        <v>444</v>
      </c>
      <c r="D607" s="10" t="s">
        <v>1770</v>
      </c>
      <c r="E607" s="10" t="s">
        <v>1639</v>
      </c>
      <c r="F607" s="9" t="n">
        <v>29.9</v>
      </c>
      <c r="G607" s="10" t="s">
        <v>446</v>
      </c>
    </row>
    <row r="608" customFormat="false" ht="15" hidden="false" customHeight="false" outlineLevel="0" collapsed="false">
      <c r="A608" s="9" t="s">
        <v>34</v>
      </c>
      <c r="B608" s="9" t="s">
        <v>24</v>
      </c>
      <c r="C608" s="10" t="s">
        <v>444</v>
      </c>
      <c r="D608" s="10" t="s">
        <v>1771</v>
      </c>
      <c r="E608" s="10" t="s">
        <v>1639</v>
      </c>
      <c r="F608" s="9" t="n">
        <v>9</v>
      </c>
      <c r="G608" s="10" t="s">
        <v>450</v>
      </c>
    </row>
    <row r="609" customFormat="false" ht="15" hidden="false" customHeight="false" outlineLevel="0" collapsed="false">
      <c r="A609" s="9" t="s">
        <v>34</v>
      </c>
      <c r="B609" s="9" t="s">
        <v>24</v>
      </c>
      <c r="C609" s="10" t="s">
        <v>444</v>
      </c>
      <c r="D609" s="10" t="s">
        <v>1772</v>
      </c>
      <c r="E609" s="10" t="s">
        <v>1639</v>
      </c>
      <c r="F609" s="9" t="n">
        <v>121.4</v>
      </c>
      <c r="G609" s="10" t="s">
        <v>452</v>
      </c>
    </row>
    <row r="610" customFormat="false" ht="15" hidden="false" customHeight="false" outlineLevel="0" collapsed="false">
      <c r="A610" s="9" t="s">
        <v>34</v>
      </c>
      <c r="B610" s="9" t="s">
        <v>24</v>
      </c>
      <c r="C610" s="10" t="s">
        <v>444</v>
      </c>
      <c r="D610" s="10" t="s">
        <v>1773</v>
      </c>
      <c r="E610" s="10" t="s">
        <v>1639</v>
      </c>
      <c r="F610" s="9" t="n">
        <v>8.8</v>
      </c>
      <c r="G610" s="10" t="s">
        <v>344</v>
      </c>
    </row>
    <row r="611" customFormat="false" ht="15" hidden="false" customHeight="false" outlineLevel="0" collapsed="false">
      <c r="A611" s="9" t="s">
        <v>34</v>
      </c>
      <c r="B611" s="9" t="s">
        <v>24</v>
      </c>
      <c r="C611" s="10" t="s">
        <v>456</v>
      </c>
      <c r="D611" s="10" t="s">
        <v>1766</v>
      </c>
      <c r="E611" s="10" t="s">
        <v>1639</v>
      </c>
      <c r="F611" s="9" t="n">
        <v>382.2</v>
      </c>
      <c r="G611" s="10" t="s">
        <v>436</v>
      </c>
    </row>
    <row r="612" customFormat="false" ht="15" hidden="false" customHeight="false" outlineLevel="0" collapsed="false">
      <c r="A612" s="9" t="s">
        <v>34</v>
      </c>
      <c r="B612" s="9" t="s">
        <v>24</v>
      </c>
      <c r="C612" s="10" t="s">
        <v>456</v>
      </c>
      <c r="D612" s="9" t="s">
        <v>1767</v>
      </c>
      <c r="E612" s="10" t="s">
        <v>1639</v>
      </c>
      <c r="F612" s="9" t="n">
        <v>28099.9</v>
      </c>
      <c r="G612" s="10" t="s">
        <v>109</v>
      </c>
    </row>
    <row r="613" customFormat="false" ht="15" hidden="false" customHeight="false" outlineLevel="0" collapsed="false">
      <c r="A613" s="9" t="s">
        <v>34</v>
      </c>
      <c r="B613" s="9" t="s">
        <v>24</v>
      </c>
      <c r="C613" s="10" t="s">
        <v>456</v>
      </c>
      <c r="D613" s="9" t="s">
        <v>1768</v>
      </c>
      <c r="E613" s="10" t="s">
        <v>1639</v>
      </c>
      <c r="F613" s="9" t="n">
        <v>34552.5</v>
      </c>
      <c r="G613" s="10" t="s">
        <v>109</v>
      </c>
    </row>
    <row r="614" customFormat="false" ht="15" hidden="false" customHeight="false" outlineLevel="0" collapsed="false">
      <c r="A614" s="9" t="s">
        <v>34</v>
      </c>
      <c r="B614" s="9" t="s">
        <v>24</v>
      </c>
      <c r="C614" s="10" t="s">
        <v>457</v>
      </c>
      <c r="D614" s="10" t="s">
        <v>1769</v>
      </c>
      <c r="E614" s="10" t="s">
        <v>1639</v>
      </c>
      <c r="F614" s="9" t="n">
        <v>23.2</v>
      </c>
      <c r="G614" s="10" t="s">
        <v>446</v>
      </c>
    </row>
    <row r="615" customFormat="false" ht="15" hidden="false" customHeight="false" outlineLevel="0" collapsed="false">
      <c r="A615" s="9" t="s">
        <v>34</v>
      </c>
      <c r="B615" s="9" t="s">
        <v>24</v>
      </c>
      <c r="C615" s="10" t="s">
        <v>457</v>
      </c>
      <c r="D615" s="10" t="s">
        <v>1770</v>
      </c>
      <c r="E615" s="10" t="s">
        <v>1639</v>
      </c>
      <c r="F615" s="9" t="n">
        <v>29.9</v>
      </c>
      <c r="G615" s="10" t="s">
        <v>446</v>
      </c>
    </row>
    <row r="616" customFormat="false" ht="15" hidden="false" customHeight="false" outlineLevel="0" collapsed="false">
      <c r="A616" s="9" t="s">
        <v>34</v>
      </c>
      <c r="B616" s="9" t="s">
        <v>24</v>
      </c>
      <c r="C616" s="10" t="s">
        <v>457</v>
      </c>
      <c r="D616" s="10" t="s">
        <v>1771</v>
      </c>
      <c r="E616" s="10" t="s">
        <v>1639</v>
      </c>
      <c r="F616" s="9" t="n">
        <v>9</v>
      </c>
      <c r="G616" s="10" t="s">
        <v>450</v>
      </c>
    </row>
    <row r="617" customFormat="false" ht="15" hidden="false" customHeight="false" outlineLevel="0" collapsed="false">
      <c r="A617" s="9" t="s">
        <v>34</v>
      </c>
      <c r="B617" s="9" t="s">
        <v>24</v>
      </c>
      <c r="C617" s="10" t="s">
        <v>457</v>
      </c>
      <c r="D617" s="10" t="s">
        <v>1772</v>
      </c>
      <c r="E617" s="10" t="s">
        <v>1639</v>
      </c>
      <c r="F617" s="9" t="n">
        <v>121.4</v>
      </c>
      <c r="G617" s="10" t="s">
        <v>452</v>
      </c>
    </row>
    <row r="618" customFormat="false" ht="15" hidden="false" customHeight="false" outlineLevel="0" collapsed="false">
      <c r="A618" s="9" t="s">
        <v>34</v>
      </c>
      <c r="B618" s="9" t="s">
        <v>24</v>
      </c>
      <c r="C618" s="10" t="s">
        <v>457</v>
      </c>
      <c r="D618" s="10" t="s">
        <v>1773</v>
      </c>
      <c r="E618" s="10" t="s">
        <v>1639</v>
      </c>
      <c r="F618" s="9" t="n">
        <v>8.8</v>
      </c>
      <c r="G618" s="10" t="s">
        <v>344</v>
      </c>
    </row>
    <row r="619" customFormat="false" ht="15" hidden="false" customHeight="false" outlineLevel="0" collapsed="false">
      <c r="A619" s="9" t="s">
        <v>34</v>
      </c>
      <c r="B619" s="9" t="s">
        <v>19</v>
      </c>
      <c r="C619" s="10" t="s">
        <v>211</v>
      </c>
      <c r="D619" s="10" t="s">
        <v>1774</v>
      </c>
      <c r="E619" s="10" t="s">
        <v>1639</v>
      </c>
      <c r="F619" s="9" t="n">
        <v>217.3</v>
      </c>
      <c r="G619" s="10" t="s">
        <v>213</v>
      </c>
    </row>
    <row r="620" customFormat="false" ht="15" hidden="false" customHeight="false" outlineLevel="0" collapsed="false">
      <c r="A620" s="9" t="s">
        <v>34</v>
      </c>
      <c r="B620" s="9" t="s">
        <v>19</v>
      </c>
      <c r="C620" s="10" t="s">
        <v>211</v>
      </c>
      <c r="D620" s="10" t="s">
        <v>1775</v>
      </c>
      <c r="E620" s="10" t="s">
        <v>1639</v>
      </c>
      <c r="F620" s="9" t="n">
        <v>348.8</v>
      </c>
      <c r="G620" s="10" t="s">
        <v>218</v>
      </c>
    </row>
    <row r="621" customFormat="false" ht="15" hidden="false" customHeight="false" outlineLevel="0" collapsed="false">
      <c r="A621" s="9" t="s">
        <v>34</v>
      </c>
      <c r="B621" s="9" t="s">
        <v>19</v>
      </c>
      <c r="C621" s="10" t="s">
        <v>211</v>
      </c>
      <c r="D621" s="10" t="s">
        <v>1776</v>
      </c>
      <c r="E621" s="10" t="s">
        <v>1639</v>
      </c>
      <c r="F621" s="9" t="n">
        <v>508.8</v>
      </c>
      <c r="G621" s="10" t="s">
        <v>220</v>
      </c>
    </row>
    <row r="622" customFormat="false" ht="15" hidden="false" customHeight="false" outlineLevel="0" collapsed="false">
      <c r="A622" s="9" t="s">
        <v>34</v>
      </c>
      <c r="B622" s="9" t="s">
        <v>19</v>
      </c>
      <c r="C622" s="10" t="s">
        <v>211</v>
      </c>
      <c r="D622" s="10" t="s">
        <v>1777</v>
      </c>
      <c r="E622" s="10" t="s">
        <v>1639</v>
      </c>
      <c r="F622" s="9" t="n">
        <v>39.9</v>
      </c>
      <c r="G622" s="10" t="s">
        <v>222</v>
      </c>
    </row>
    <row r="623" customFormat="false" ht="15" hidden="false" customHeight="false" outlineLevel="0" collapsed="false">
      <c r="A623" s="9" t="s">
        <v>34</v>
      </c>
      <c r="B623" s="9" t="s">
        <v>19</v>
      </c>
      <c r="C623" s="10" t="s">
        <v>211</v>
      </c>
      <c r="D623" s="10" t="s">
        <v>1778</v>
      </c>
      <c r="E623" s="10" t="s">
        <v>1639</v>
      </c>
      <c r="F623" s="9" t="n">
        <v>17.2</v>
      </c>
      <c r="G623" s="10" t="s">
        <v>224</v>
      </c>
    </row>
    <row r="624" customFormat="false" ht="15" hidden="false" customHeight="false" outlineLevel="0" collapsed="false">
      <c r="A624" s="9" t="s">
        <v>34</v>
      </c>
      <c r="B624" s="9" t="s">
        <v>19</v>
      </c>
      <c r="C624" s="10" t="s">
        <v>211</v>
      </c>
      <c r="D624" s="10" t="s">
        <v>1779</v>
      </c>
      <c r="E624" s="10" t="s">
        <v>1639</v>
      </c>
      <c r="F624" s="9" t="n">
        <v>17.7</v>
      </c>
      <c r="G624" s="10" t="s">
        <v>229</v>
      </c>
    </row>
    <row r="625" customFormat="false" ht="15" hidden="false" customHeight="false" outlineLevel="0" collapsed="false">
      <c r="A625" s="9" t="s">
        <v>34</v>
      </c>
      <c r="B625" s="9" t="s">
        <v>19</v>
      </c>
      <c r="C625" s="10" t="s">
        <v>211</v>
      </c>
      <c r="D625" s="10" t="s">
        <v>1780</v>
      </c>
      <c r="E625" s="10" t="s">
        <v>1639</v>
      </c>
      <c r="F625" s="9" t="n">
        <v>92.5</v>
      </c>
      <c r="G625" s="10" t="s">
        <v>231</v>
      </c>
    </row>
    <row r="626" customFormat="false" ht="15" hidden="false" customHeight="false" outlineLevel="0" collapsed="false">
      <c r="A626" s="9" t="s">
        <v>34</v>
      </c>
      <c r="B626" s="9" t="s">
        <v>19</v>
      </c>
      <c r="C626" s="10" t="s">
        <v>211</v>
      </c>
      <c r="D626" s="10" t="s">
        <v>1781</v>
      </c>
      <c r="E626" s="10" t="s">
        <v>1639</v>
      </c>
      <c r="F626" s="9" t="n">
        <v>6.8</v>
      </c>
      <c r="G626" s="10" t="s">
        <v>231</v>
      </c>
    </row>
    <row r="627" customFormat="false" ht="15" hidden="false" customHeight="false" outlineLevel="0" collapsed="false">
      <c r="A627" s="9" t="s">
        <v>34</v>
      </c>
      <c r="B627" s="9" t="s">
        <v>19</v>
      </c>
      <c r="C627" s="10" t="s">
        <v>211</v>
      </c>
      <c r="D627" s="10" t="s">
        <v>1782</v>
      </c>
      <c r="E627" s="10" t="s">
        <v>1639</v>
      </c>
      <c r="F627" s="9" t="n">
        <v>7.9</v>
      </c>
      <c r="G627" s="10" t="s">
        <v>231</v>
      </c>
    </row>
    <row r="628" customFormat="false" ht="15" hidden="false" customHeight="false" outlineLevel="0" collapsed="false">
      <c r="A628" s="9" t="s">
        <v>34</v>
      </c>
      <c r="B628" s="9" t="s">
        <v>19</v>
      </c>
      <c r="C628" s="10" t="s">
        <v>211</v>
      </c>
      <c r="D628" s="10" t="s">
        <v>1783</v>
      </c>
      <c r="E628" s="10" t="s">
        <v>1639</v>
      </c>
      <c r="F628" s="9" t="n">
        <v>120.8</v>
      </c>
      <c r="G628" s="10" t="s">
        <v>804</v>
      </c>
    </row>
    <row r="629" customFormat="false" ht="15" hidden="false" customHeight="false" outlineLevel="0" collapsed="false">
      <c r="A629" s="9" t="s">
        <v>34</v>
      </c>
      <c r="B629" s="9" t="s">
        <v>19</v>
      </c>
      <c r="C629" s="10" t="s">
        <v>211</v>
      </c>
      <c r="D629" s="9" t="s">
        <v>1784</v>
      </c>
      <c r="E629" s="10" t="s">
        <v>1639</v>
      </c>
      <c r="F629" s="9" t="n">
        <v>826</v>
      </c>
      <c r="G629" s="10" t="s">
        <v>238</v>
      </c>
    </row>
    <row r="630" customFormat="false" ht="15" hidden="false" customHeight="false" outlineLevel="0" collapsed="false">
      <c r="A630" s="9" t="s">
        <v>34</v>
      </c>
      <c r="B630" s="9" t="s">
        <v>19</v>
      </c>
      <c r="C630" s="10" t="s">
        <v>239</v>
      </c>
      <c r="D630" s="10" t="s">
        <v>1785</v>
      </c>
      <c r="E630" s="10" t="s">
        <v>1639</v>
      </c>
      <c r="F630" s="9" t="n">
        <v>18.7</v>
      </c>
      <c r="G630" s="10" t="s">
        <v>147</v>
      </c>
    </row>
    <row r="631" customFormat="false" ht="15" hidden="false" customHeight="false" outlineLevel="0" collapsed="false">
      <c r="A631" s="9" t="s">
        <v>34</v>
      </c>
      <c r="B631" s="9" t="s">
        <v>19</v>
      </c>
      <c r="C631" s="10" t="s">
        <v>239</v>
      </c>
      <c r="D631" s="10" t="s">
        <v>1786</v>
      </c>
      <c r="E631" s="10" t="s">
        <v>1639</v>
      </c>
      <c r="F631" s="9" t="n">
        <v>7.4</v>
      </c>
      <c r="G631" s="10" t="s">
        <v>59</v>
      </c>
    </row>
    <row r="632" customFormat="false" ht="15" hidden="false" customHeight="false" outlineLevel="0" collapsed="false">
      <c r="A632" s="9" t="s">
        <v>34</v>
      </c>
      <c r="B632" s="9" t="s">
        <v>19</v>
      </c>
      <c r="C632" s="10" t="s">
        <v>239</v>
      </c>
      <c r="D632" s="10" t="s">
        <v>1787</v>
      </c>
      <c r="E632" s="10" t="s">
        <v>1639</v>
      </c>
      <c r="F632" s="9" t="n">
        <v>20.5</v>
      </c>
      <c r="G632" s="10" t="s">
        <v>243</v>
      </c>
    </row>
    <row r="633" customFormat="false" ht="15" hidden="false" customHeight="false" outlineLevel="0" collapsed="false">
      <c r="A633" s="9" t="s">
        <v>34</v>
      </c>
      <c r="B633" s="9" t="s">
        <v>19</v>
      </c>
      <c r="C633" s="10" t="s">
        <v>239</v>
      </c>
      <c r="D633" s="10" t="s">
        <v>1788</v>
      </c>
      <c r="E633" s="10" t="s">
        <v>1639</v>
      </c>
      <c r="F633" s="9" t="n">
        <v>14.4</v>
      </c>
      <c r="G633" s="10" t="s">
        <v>98</v>
      </c>
    </row>
    <row r="634" customFormat="false" ht="15" hidden="false" customHeight="false" outlineLevel="0" collapsed="false">
      <c r="A634" s="9" t="s">
        <v>34</v>
      </c>
      <c r="B634" s="9" t="s">
        <v>19</v>
      </c>
      <c r="C634" s="10" t="s">
        <v>239</v>
      </c>
      <c r="D634" s="10" t="s">
        <v>1789</v>
      </c>
      <c r="E634" s="10" t="s">
        <v>1639</v>
      </c>
      <c r="F634" s="9" t="n">
        <v>262.6</v>
      </c>
      <c r="G634" s="10" t="s">
        <v>246</v>
      </c>
    </row>
    <row r="635" customFormat="false" ht="15" hidden="false" customHeight="false" outlineLevel="0" collapsed="false">
      <c r="A635" s="9" t="s">
        <v>34</v>
      </c>
      <c r="B635" s="9" t="s">
        <v>19</v>
      </c>
      <c r="C635" s="10" t="s">
        <v>239</v>
      </c>
      <c r="D635" s="10" t="s">
        <v>1790</v>
      </c>
      <c r="E635" s="10" t="s">
        <v>1639</v>
      </c>
      <c r="F635" s="9" t="n">
        <v>453.7</v>
      </c>
      <c r="G635" s="10" t="s">
        <v>248</v>
      </c>
    </row>
    <row r="636" customFormat="false" ht="15" hidden="false" customHeight="false" outlineLevel="0" collapsed="false">
      <c r="A636" s="9" t="s">
        <v>34</v>
      </c>
      <c r="B636" s="9" t="s">
        <v>19</v>
      </c>
      <c r="C636" s="10" t="s">
        <v>239</v>
      </c>
      <c r="D636" s="10" t="s">
        <v>1791</v>
      </c>
      <c r="E636" s="10" t="s">
        <v>1639</v>
      </c>
      <c r="F636" s="9" t="n">
        <v>486.1</v>
      </c>
      <c r="G636" s="10" t="s">
        <v>250</v>
      </c>
    </row>
    <row r="637" customFormat="false" ht="15" hidden="false" customHeight="false" outlineLevel="0" collapsed="false">
      <c r="A637" s="9" t="s">
        <v>34</v>
      </c>
      <c r="B637" s="9" t="s">
        <v>19</v>
      </c>
      <c r="C637" s="10" t="s">
        <v>239</v>
      </c>
      <c r="D637" s="10" t="s">
        <v>1792</v>
      </c>
      <c r="E637" s="10" t="s">
        <v>1639</v>
      </c>
      <c r="F637" s="9" t="n">
        <v>132.8</v>
      </c>
      <c r="G637" s="10" t="s">
        <v>252</v>
      </c>
    </row>
    <row r="638" customFormat="false" ht="15" hidden="false" customHeight="false" outlineLevel="0" collapsed="false">
      <c r="A638" s="9" t="s">
        <v>34</v>
      </c>
      <c r="B638" s="9" t="s">
        <v>19</v>
      </c>
      <c r="C638" s="10" t="s">
        <v>239</v>
      </c>
      <c r="D638" s="10" t="s">
        <v>1793</v>
      </c>
      <c r="E638" s="10" t="s">
        <v>1639</v>
      </c>
      <c r="F638" s="9" t="n">
        <v>99.7</v>
      </c>
      <c r="G638" s="10" t="s">
        <v>252</v>
      </c>
    </row>
    <row r="639" customFormat="false" ht="15" hidden="false" customHeight="false" outlineLevel="0" collapsed="false">
      <c r="A639" s="9" t="s">
        <v>34</v>
      </c>
      <c r="B639" s="9" t="s">
        <v>19</v>
      </c>
      <c r="C639" s="10" t="s">
        <v>239</v>
      </c>
      <c r="D639" s="10" t="s">
        <v>1794</v>
      </c>
      <c r="E639" s="10" t="s">
        <v>1639</v>
      </c>
      <c r="F639" s="9" t="n">
        <v>9.6</v>
      </c>
      <c r="G639" s="10" t="s">
        <v>252</v>
      </c>
    </row>
    <row r="640" customFormat="false" ht="15" hidden="false" customHeight="false" outlineLevel="0" collapsed="false">
      <c r="A640" s="9" t="s">
        <v>34</v>
      </c>
      <c r="B640" s="9" t="s">
        <v>19</v>
      </c>
      <c r="C640" s="10" t="s">
        <v>239</v>
      </c>
      <c r="D640" s="10" t="s">
        <v>1795</v>
      </c>
      <c r="E640" s="10" t="s">
        <v>1639</v>
      </c>
      <c r="F640" s="9" t="n">
        <v>6.4</v>
      </c>
      <c r="G640" s="10" t="s">
        <v>61</v>
      </c>
    </row>
    <row r="641" customFormat="false" ht="15" hidden="false" customHeight="false" outlineLevel="0" collapsed="false">
      <c r="A641" s="9" t="s">
        <v>34</v>
      </c>
      <c r="B641" s="9" t="s">
        <v>19</v>
      </c>
      <c r="C641" s="10" t="s">
        <v>239</v>
      </c>
      <c r="D641" s="10" t="s">
        <v>1796</v>
      </c>
      <c r="E641" s="10" t="s">
        <v>1639</v>
      </c>
      <c r="F641" s="9" t="n">
        <v>41.1</v>
      </c>
      <c r="G641" s="10" t="s">
        <v>248</v>
      </c>
    </row>
    <row r="642" customFormat="false" ht="15" hidden="false" customHeight="false" outlineLevel="0" collapsed="false">
      <c r="A642" s="9" t="s">
        <v>34</v>
      </c>
      <c r="B642" s="9" t="s">
        <v>19</v>
      </c>
      <c r="C642" s="10" t="s">
        <v>239</v>
      </c>
      <c r="D642" s="10" t="s">
        <v>1797</v>
      </c>
      <c r="E642" s="10" t="s">
        <v>1639</v>
      </c>
      <c r="F642" s="9" t="n">
        <v>191.1</v>
      </c>
      <c r="G642" s="10" t="s">
        <v>259</v>
      </c>
    </row>
    <row r="643" customFormat="false" ht="15" hidden="false" customHeight="false" outlineLevel="0" collapsed="false">
      <c r="A643" s="9" t="s">
        <v>34</v>
      </c>
      <c r="B643" s="9" t="s">
        <v>19</v>
      </c>
      <c r="C643" s="10" t="s">
        <v>239</v>
      </c>
      <c r="D643" s="10" t="s">
        <v>1798</v>
      </c>
      <c r="E643" s="10" t="s">
        <v>1639</v>
      </c>
      <c r="F643" s="9" t="n">
        <v>10.7</v>
      </c>
      <c r="G643" s="10" t="s">
        <v>261</v>
      </c>
    </row>
    <row r="644" customFormat="false" ht="15" hidden="false" customHeight="false" outlineLevel="0" collapsed="false">
      <c r="A644" s="9" t="s">
        <v>34</v>
      </c>
      <c r="B644" s="9" t="s">
        <v>19</v>
      </c>
      <c r="C644" s="10" t="s">
        <v>239</v>
      </c>
      <c r="D644" s="10" t="s">
        <v>1799</v>
      </c>
      <c r="E644" s="10" t="s">
        <v>1639</v>
      </c>
      <c r="F644" s="9" t="n">
        <v>54.1</v>
      </c>
      <c r="G644" s="10" t="s">
        <v>259</v>
      </c>
    </row>
    <row r="645" customFormat="false" ht="15" hidden="false" customHeight="false" outlineLevel="0" collapsed="false">
      <c r="A645" s="9" t="s">
        <v>34</v>
      </c>
      <c r="B645" s="9" t="s">
        <v>19</v>
      </c>
      <c r="C645" s="10" t="s">
        <v>239</v>
      </c>
      <c r="D645" s="10" t="s">
        <v>1800</v>
      </c>
      <c r="E645" s="10" t="s">
        <v>1639</v>
      </c>
      <c r="F645" s="9" t="n">
        <v>228.1</v>
      </c>
      <c r="G645" s="10" t="s">
        <v>264</v>
      </c>
    </row>
    <row r="646" customFormat="false" ht="15" hidden="false" customHeight="false" outlineLevel="0" collapsed="false">
      <c r="A646" s="9" t="s">
        <v>34</v>
      </c>
      <c r="B646" s="9" t="s">
        <v>19</v>
      </c>
      <c r="C646" s="10" t="s">
        <v>239</v>
      </c>
      <c r="D646" s="10" t="s">
        <v>1801</v>
      </c>
      <c r="E646" s="10" t="s">
        <v>1639</v>
      </c>
      <c r="F646" s="9" t="n">
        <v>1816.3</v>
      </c>
      <c r="G646" s="10" t="s">
        <v>272</v>
      </c>
    </row>
    <row r="647" customFormat="false" ht="15" hidden="false" customHeight="false" outlineLevel="0" collapsed="false">
      <c r="A647" s="9" t="s">
        <v>34</v>
      </c>
      <c r="B647" s="9" t="s">
        <v>18</v>
      </c>
      <c r="C647" s="10" t="s">
        <v>91</v>
      </c>
      <c r="D647" s="10" t="s">
        <v>1802</v>
      </c>
      <c r="E647" s="10" t="s">
        <v>1639</v>
      </c>
      <c r="F647" s="9" t="n">
        <v>21.1</v>
      </c>
      <c r="G647" s="10" t="s">
        <v>93</v>
      </c>
    </row>
    <row r="648" customFormat="false" ht="15" hidden="false" customHeight="false" outlineLevel="0" collapsed="false">
      <c r="A648" s="9" t="s">
        <v>34</v>
      </c>
      <c r="B648" s="9" t="s">
        <v>18</v>
      </c>
      <c r="C648" s="10" t="s">
        <v>91</v>
      </c>
      <c r="D648" s="10" t="s">
        <v>1803</v>
      </c>
      <c r="E648" s="10" t="s">
        <v>1639</v>
      </c>
      <c r="F648" s="9" t="n">
        <v>122.9</v>
      </c>
      <c r="G648" s="10" t="s">
        <v>64</v>
      </c>
    </row>
    <row r="649" customFormat="false" ht="15" hidden="false" customHeight="false" outlineLevel="0" collapsed="false">
      <c r="A649" s="9" t="s">
        <v>34</v>
      </c>
      <c r="B649" s="9" t="s">
        <v>18</v>
      </c>
      <c r="C649" s="10" t="s">
        <v>91</v>
      </c>
      <c r="D649" s="10" t="s">
        <v>1804</v>
      </c>
      <c r="E649" s="10" t="s">
        <v>1639</v>
      </c>
      <c r="F649" s="9" t="n">
        <v>266.4</v>
      </c>
      <c r="G649" s="10" t="s">
        <v>96</v>
      </c>
    </row>
    <row r="650" customFormat="false" ht="15" hidden="false" customHeight="false" outlineLevel="0" collapsed="false">
      <c r="A650" s="9" t="s">
        <v>34</v>
      </c>
      <c r="B650" s="9" t="s">
        <v>18</v>
      </c>
      <c r="C650" s="10" t="s">
        <v>91</v>
      </c>
      <c r="D650" s="10" t="s">
        <v>1805</v>
      </c>
      <c r="E650" s="10" t="s">
        <v>1639</v>
      </c>
      <c r="F650" s="9" t="n">
        <v>15.9</v>
      </c>
      <c r="G650" s="10" t="s">
        <v>98</v>
      </c>
    </row>
    <row r="651" customFormat="false" ht="15" hidden="false" customHeight="false" outlineLevel="0" collapsed="false">
      <c r="A651" s="9" t="s">
        <v>34</v>
      </c>
      <c r="B651" s="9" t="s">
        <v>18</v>
      </c>
      <c r="C651" s="10" t="s">
        <v>91</v>
      </c>
      <c r="D651" s="10" t="s">
        <v>1806</v>
      </c>
      <c r="E651" s="10" t="s">
        <v>1639</v>
      </c>
      <c r="F651" s="9" t="n">
        <v>129.6</v>
      </c>
      <c r="G651" s="10" t="s">
        <v>100</v>
      </c>
    </row>
    <row r="652" customFormat="false" ht="15" hidden="false" customHeight="false" outlineLevel="0" collapsed="false">
      <c r="A652" s="9" t="s">
        <v>34</v>
      </c>
      <c r="B652" s="9" t="s">
        <v>18</v>
      </c>
      <c r="C652" s="10" t="s">
        <v>91</v>
      </c>
      <c r="D652" s="10" t="s">
        <v>1807</v>
      </c>
      <c r="E652" s="10" t="s">
        <v>1639</v>
      </c>
      <c r="F652" s="9" t="n">
        <v>112.3</v>
      </c>
      <c r="G652" s="10" t="s">
        <v>93</v>
      </c>
    </row>
    <row r="653" customFormat="false" ht="15" hidden="false" customHeight="false" outlineLevel="0" collapsed="false">
      <c r="A653" s="9" t="s">
        <v>34</v>
      </c>
      <c r="B653" s="9" t="s">
        <v>18</v>
      </c>
      <c r="C653" s="10" t="s">
        <v>91</v>
      </c>
      <c r="D653" s="9" t="s">
        <v>1808</v>
      </c>
      <c r="E653" s="10" t="s">
        <v>1639</v>
      </c>
      <c r="F653" s="9" t="n">
        <v>6.2</v>
      </c>
      <c r="G653" s="10" t="s">
        <v>103</v>
      </c>
    </row>
    <row r="654" customFormat="false" ht="15" hidden="false" customHeight="false" outlineLevel="0" collapsed="false">
      <c r="A654" s="9" t="s">
        <v>34</v>
      </c>
      <c r="B654" s="9" t="s">
        <v>22</v>
      </c>
      <c r="C654" s="10" t="s">
        <v>371</v>
      </c>
      <c r="D654" s="10" t="s">
        <v>1809</v>
      </c>
      <c r="E654" s="10" t="s">
        <v>1639</v>
      </c>
      <c r="F654" s="9" t="n">
        <v>1265</v>
      </c>
      <c r="G654" s="10" t="s">
        <v>373</v>
      </c>
    </row>
    <row r="655" customFormat="false" ht="15" hidden="false" customHeight="false" outlineLevel="0" collapsed="false">
      <c r="A655" s="9" t="s">
        <v>34</v>
      </c>
      <c r="B655" s="9" t="s">
        <v>22</v>
      </c>
      <c r="C655" s="10" t="s">
        <v>371</v>
      </c>
      <c r="D655" s="10" t="s">
        <v>1810</v>
      </c>
      <c r="E655" s="10" t="s">
        <v>1639</v>
      </c>
      <c r="F655" s="9" t="n">
        <v>2088.7</v>
      </c>
      <c r="G655" s="10" t="s">
        <v>376</v>
      </c>
    </row>
    <row r="656" customFormat="false" ht="15" hidden="false" customHeight="false" outlineLevel="0" collapsed="false">
      <c r="A656" s="9" t="s">
        <v>34</v>
      </c>
      <c r="B656" s="9" t="s">
        <v>22</v>
      </c>
      <c r="C656" s="10" t="s">
        <v>371</v>
      </c>
      <c r="D656" s="10" t="s">
        <v>1811</v>
      </c>
      <c r="E656" s="10" t="s">
        <v>1639</v>
      </c>
      <c r="F656" s="9" t="n">
        <v>1405.4</v>
      </c>
      <c r="G656" s="10" t="s">
        <v>378</v>
      </c>
    </row>
    <row r="657" customFormat="false" ht="15" hidden="false" customHeight="false" outlineLevel="0" collapsed="false">
      <c r="A657" s="9" t="s">
        <v>34</v>
      </c>
      <c r="B657" s="9" t="s">
        <v>22</v>
      </c>
      <c r="C657" s="10" t="s">
        <v>371</v>
      </c>
      <c r="D657" s="10" t="s">
        <v>1812</v>
      </c>
      <c r="E657" s="10" t="s">
        <v>1639</v>
      </c>
      <c r="F657" s="9" t="n">
        <v>35.3</v>
      </c>
      <c r="G657" s="10" t="s">
        <v>380</v>
      </c>
    </row>
    <row r="658" customFormat="false" ht="15" hidden="false" customHeight="false" outlineLevel="0" collapsed="false">
      <c r="A658" s="9" t="s">
        <v>34</v>
      </c>
      <c r="B658" s="9" t="s">
        <v>22</v>
      </c>
      <c r="C658" s="10" t="s">
        <v>371</v>
      </c>
      <c r="D658" s="10" t="s">
        <v>1813</v>
      </c>
      <c r="E658" s="10" t="s">
        <v>1639</v>
      </c>
      <c r="F658" s="9" t="n">
        <v>276.9</v>
      </c>
      <c r="G658" s="10" t="s">
        <v>378</v>
      </c>
    </row>
    <row r="659" customFormat="false" ht="15" hidden="false" customHeight="false" outlineLevel="0" collapsed="false">
      <c r="A659" s="9" t="s">
        <v>34</v>
      </c>
      <c r="B659" s="9" t="s">
        <v>22</v>
      </c>
      <c r="C659" s="10" t="s">
        <v>371</v>
      </c>
      <c r="D659" s="10" t="s">
        <v>1814</v>
      </c>
      <c r="E659" s="10" t="s">
        <v>1639</v>
      </c>
      <c r="F659" s="9" t="n">
        <v>191</v>
      </c>
      <c r="G659" s="10" t="s">
        <v>383</v>
      </c>
    </row>
    <row r="660" customFormat="false" ht="15" hidden="false" customHeight="false" outlineLevel="0" collapsed="false">
      <c r="A660" s="9" t="s">
        <v>34</v>
      </c>
      <c r="B660" s="9" t="s">
        <v>23</v>
      </c>
      <c r="C660" s="10" t="s">
        <v>105</v>
      </c>
      <c r="D660" s="10" t="s">
        <v>1815</v>
      </c>
      <c r="E660" s="10" t="s">
        <v>1639</v>
      </c>
      <c r="F660" s="9" t="n">
        <v>9</v>
      </c>
      <c r="G660" s="10" t="s">
        <v>425</v>
      </c>
    </row>
    <row r="661" customFormat="false" ht="15" hidden="false" customHeight="false" outlineLevel="0" collapsed="false">
      <c r="A661" s="9" t="s">
        <v>34</v>
      </c>
      <c r="B661" s="9" t="s">
        <v>18</v>
      </c>
      <c r="C661" s="10" t="s">
        <v>105</v>
      </c>
      <c r="D661" s="9" t="s">
        <v>1816</v>
      </c>
      <c r="E661" s="10" t="s">
        <v>1639</v>
      </c>
      <c r="F661" s="9" t="n">
        <v>9.3</v>
      </c>
      <c r="G661" s="10" t="s">
        <v>109</v>
      </c>
    </row>
    <row r="662" customFormat="false" ht="15" hidden="false" customHeight="false" outlineLevel="0" collapsed="false">
      <c r="A662" s="9" t="s">
        <v>34</v>
      </c>
      <c r="B662" s="9" t="s">
        <v>21</v>
      </c>
      <c r="C662" s="10" t="s">
        <v>306</v>
      </c>
      <c r="D662" s="10" t="s">
        <v>1817</v>
      </c>
      <c r="E662" s="10" t="s">
        <v>1639</v>
      </c>
      <c r="F662" s="9" t="n">
        <v>3429.3</v>
      </c>
      <c r="G662" s="10" t="s">
        <v>308</v>
      </c>
    </row>
    <row r="663" customFormat="false" ht="15" hidden="false" customHeight="false" outlineLevel="0" collapsed="false">
      <c r="A663" s="9" t="s">
        <v>34</v>
      </c>
      <c r="B663" s="9" t="s">
        <v>21</v>
      </c>
      <c r="C663" s="10" t="s">
        <v>306</v>
      </c>
      <c r="D663" s="10" t="s">
        <v>1818</v>
      </c>
      <c r="E663" s="10" t="s">
        <v>1639</v>
      </c>
      <c r="F663" s="9" t="n">
        <v>2737</v>
      </c>
      <c r="G663" s="10" t="s">
        <v>308</v>
      </c>
    </row>
    <row r="664" customFormat="false" ht="15" hidden="false" customHeight="false" outlineLevel="0" collapsed="false">
      <c r="A664" s="9" t="s">
        <v>34</v>
      </c>
      <c r="B664" s="9" t="s">
        <v>21</v>
      </c>
      <c r="C664" s="10" t="s">
        <v>306</v>
      </c>
      <c r="D664" s="10" t="s">
        <v>1819</v>
      </c>
      <c r="E664" s="10" t="s">
        <v>1639</v>
      </c>
      <c r="F664" s="9" t="n">
        <v>176.3</v>
      </c>
      <c r="G664" s="10" t="s">
        <v>311</v>
      </c>
    </row>
    <row r="665" customFormat="false" ht="15" hidden="false" customHeight="false" outlineLevel="0" collapsed="false">
      <c r="A665" s="9" t="s">
        <v>34</v>
      </c>
      <c r="B665" s="9" t="s">
        <v>21</v>
      </c>
      <c r="C665" s="10" t="s">
        <v>306</v>
      </c>
      <c r="D665" s="10" t="s">
        <v>1820</v>
      </c>
      <c r="E665" s="10" t="s">
        <v>1639</v>
      </c>
      <c r="F665" s="9" t="n">
        <v>18.2</v>
      </c>
      <c r="G665" s="10" t="s">
        <v>313</v>
      </c>
    </row>
    <row r="666" customFormat="false" ht="15" hidden="false" customHeight="false" outlineLevel="0" collapsed="false">
      <c r="A666" s="9" t="s">
        <v>34</v>
      </c>
      <c r="B666" s="9" t="s">
        <v>21</v>
      </c>
      <c r="C666" s="10" t="s">
        <v>306</v>
      </c>
      <c r="D666" s="10" t="s">
        <v>1821</v>
      </c>
      <c r="E666" s="10" t="s">
        <v>1639</v>
      </c>
      <c r="F666" s="9" t="n">
        <v>12.9</v>
      </c>
      <c r="G666" s="10" t="s">
        <v>315</v>
      </c>
    </row>
    <row r="667" customFormat="false" ht="15" hidden="false" customHeight="false" outlineLevel="0" collapsed="false">
      <c r="A667" s="9" t="s">
        <v>34</v>
      </c>
      <c r="B667" s="9" t="s">
        <v>21</v>
      </c>
      <c r="C667" s="10" t="s">
        <v>306</v>
      </c>
      <c r="D667" s="10" t="s">
        <v>1822</v>
      </c>
      <c r="E667" s="10" t="s">
        <v>1639</v>
      </c>
      <c r="F667" s="9" t="n">
        <v>20</v>
      </c>
      <c r="G667" s="10" t="s">
        <v>317</v>
      </c>
    </row>
    <row r="668" customFormat="false" ht="15" hidden="false" customHeight="false" outlineLevel="0" collapsed="false">
      <c r="A668" s="9" t="s">
        <v>34</v>
      </c>
      <c r="B668" s="9" t="s">
        <v>21</v>
      </c>
      <c r="C668" s="10" t="s">
        <v>306</v>
      </c>
      <c r="D668" s="10" t="s">
        <v>1823</v>
      </c>
      <c r="E668" s="10" t="s">
        <v>1639</v>
      </c>
      <c r="F668" s="9" t="n">
        <v>119.9</v>
      </c>
      <c r="G668" s="10" t="s">
        <v>319</v>
      </c>
    </row>
    <row r="669" customFormat="false" ht="15" hidden="false" customHeight="false" outlineLevel="0" collapsed="false">
      <c r="A669" s="9" t="s">
        <v>34</v>
      </c>
      <c r="B669" s="9" t="s">
        <v>21</v>
      </c>
      <c r="C669" s="10" t="s">
        <v>306</v>
      </c>
      <c r="D669" s="10" t="s">
        <v>1824</v>
      </c>
      <c r="E669" s="10" t="s">
        <v>1639</v>
      </c>
      <c r="F669" s="9" t="n">
        <v>8.4</v>
      </c>
      <c r="G669" s="10" t="s">
        <v>319</v>
      </c>
    </row>
    <row r="670" customFormat="false" ht="15" hidden="false" customHeight="false" outlineLevel="0" collapsed="false">
      <c r="A670" s="9" t="s">
        <v>34</v>
      </c>
      <c r="B670" s="9" t="s">
        <v>21</v>
      </c>
      <c r="C670" s="10" t="s">
        <v>306</v>
      </c>
      <c r="D670" s="10" t="s">
        <v>1825</v>
      </c>
      <c r="E670" s="10" t="s">
        <v>1639</v>
      </c>
      <c r="F670" s="9" t="n">
        <v>18</v>
      </c>
      <c r="G670" s="10" t="s">
        <v>322</v>
      </c>
    </row>
    <row r="671" customFormat="false" ht="15" hidden="false" customHeight="false" outlineLevel="0" collapsed="false">
      <c r="A671" s="9" t="s">
        <v>34</v>
      </c>
      <c r="B671" s="9" t="s">
        <v>21</v>
      </c>
      <c r="C671" s="10" t="s">
        <v>306</v>
      </c>
      <c r="D671" s="10" t="s">
        <v>1826</v>
      </c>
      <c r="E671" s="10" t="s">
        <v>1639</v>
      </c>
      <c r="F671" s="9" t="n">
        <v>6.4</v>
      </c>
      <c r="G671" s="10" t="s">
        <v>315</v>
      </c>
    </row>
    <row r="672" customFormat="false" ht="15" hidden="false" customHeight="false" outlineLevel="0" collapsed="false">
      <c r="A672" s="9" t="s">
        <v>34</v>
      </c>
      <c r="B672" s="9" t="s">
        <v>21</v>
      </c>
      <c r="C672" s="10" t="s">
        <v>306</v>
      </c>
      <c r="D672" s="10" t="s">
        <v>1827</v>
      </c>
      <c r="E672" s="10" t="s">
        <v>1639</v>
      </c>
      <c r="F672" s="9" t="n">
        <v>7.5</v>
      </c>
      <c r="G672" s="10" t="s">
        <v>326</v>
      </c>
    </row>
    <row r="673" customFormat="false" ht="15" hidden="false" customHeight="false" outlineLevel="0" collapsed="false">
      <c r="A673" s="9" t="s">
        <v>34</v>
      </c>
      <c r="B673" s="9" t="s">
        <v>21</v>
      </c>
      <c r="C673" s="10" t="s">
        <v>306</v>
      </c>
      <c r="D673" s="10" t="s">
        <v>1828</v>
      </c>
      <c r="E673" s="10" t="s">
        <v>1639</v>
      </c>
      <c r="F673" s="9" t="n">
        <v>29.9</v>
      </c>
      <c r="G673" s="10" t="s">
        <v>322</v>
      </c>
    </row>
    <row r="674" customFormat="false" ht="15" hidden="false" customHeight="false" outlineLevel="0" collapsed="false">
      <c r="A674" s="9" t="s">
        <v>34</v>
      </c>
      <c r="B674" s="9" t="s">
        <v>21</v>
      </c>
      <c r="C674" s="10" t="s">
        <v>306</v>
      </c>
      <c r="D674" s="10" t="s">
        <v>1829</v>
      </c>
      <c r="E674" s="10" t="s">
        <v>1639</v>
      </c>
      <c r="F674" s="9" t="n">
        <v>8.2</v>
      </c>
      <c r="G674" s="10" t="s">
        <v>115</v>
      </c>
    </row>
    <row r="675" customFormat="false" ht="15" hidden="false" customHeight="false" outlineLevel="0" collapsed="false">
      <c r="A675" s="9" t="s">
        <v>34</v>
      </c>
      <c r="B675" s="9" t="s">
        <v>21</v>
      </c>
      <c r="C675" s="10" t="s">
        <v>306</v>
      </c>
      <c r="D675" s="10" t="s">
        <v>1830</v>
      </c>
      <c r="E675" s="10" t="s">
        <v>1639</v>
      </c>
      <c r="F675" s="9" t="n">
        <v>7.9</v>
      </c>
      <c r="G675" s="10" t="s">
        <v>330</v>
      </c>
    </row>
    <row r="676" customFormat="false" ht="15" hidden="false" customHeight="false" outlineLevel="0" collapsed="false">
      <c r="A676" s="9" t="s">
        <v>34</v>
      </c>
      <c r="B676" s="9" t="s">
        <v>21</v>
      </c>
      <c r="C676" s="10" t="s">
        <v>306</v>
      </c>
      <c r="D676" s="10" t="s">
        <v>1831</v>
      </c>
      <c r="E676" s="10" t="s">
        <v>1639</v>
      </c>
      <c r="F676" s="9" t="n">
        <v>57.3</v>
      </c>
      <c r="G676" s="10" t="s">
        <v>332</v>
      </c>
    </row>
    <row r="677" customFormat="false" ht="15" hidden="false" customHeight="false" outlineLevel="0" collapsed="false">
      <c r="A677" s="9" t="s">
        <v>34</v>
      </c>
      <c r="B677" s="9" t="s">
        <v>21</v>
      </c>
      <c r="C677" s="10" t="s">
        <v>306</v>
      </c>
      <c r="D677" s="10" t="s">
        <v>1832</v>
      </c>
      <c r="E677" s="10" t="s">
        <v>1639</v>
      </c>
      <c r="F677" s="9" t="n">
        <v>27.4</v>
      </c>
      <c r="G677" s="10" t="s">
        <v>313</v>
      </c>
    </row>
    <row r="678" customFormat="false" ht="15" hidden="false" customHeight="false" outlineLevel="0" collapsed="false">
      <c r="A678" s="9" t="s">
        <v>34</v>
      </c>
      <c r="B678" s="9" t="s">
        <v>21</v>
      </c>
      <c r="C678" s="10" t="s">
        <v>306</v>
      </c>
      <c r="D678" s="10" t="s">
        <v>1833</v>
      </c>
      <c r="E678" s="10" t="s">
        <v>1639</v>
      </c>
      <c r="F678" s="9" t="n">
        <v>10.6</v>
      </c>
      <c r="G678" s="10" t="s">
        <v>335</v>
      </c>
    </row>
    <row r="679" customFormat="false" ht="15" hidden="false" customHeight="false" outlineLevel="0" collapsed="false">
      <c r="A679" s="9" t="s">
        <v>34</v>
      </c>
      <c r="B679" s="9" t="s">
        <v>21</v>
      </c>
      <c r="C679" s="10" t="s">
        <v>306</v>
      </c>
      <c r="D679" s="10" t="s">
        <v>1834</v>
      </c>
      <c r="E679" s="10" t="s">
        <v>1639</v>
      </c>
      <c r="F679" s="9" t="n">
        <v>6.7</v>
      </c>
      <c r="G679" s="10" t="s">
        <v>337</v>
      </c>
    </row>
    <row r="680" customFormat="false" ht="15" hidden="false" customHeight="false" outlineLevel="0" collapsed="false">
      <c r="A680" s="9" t="s">
        <v>34</v>
      </c>
      <c r="B680" s="9" t="s">
        <v>21</v>
      </c>
      <c r="C680" s="10" t="s">
        <v>306</v>
      </c>
      <c r="D680" s="10" t="s">
        <v>1835</v>
      </c>
      <c r="E680" s="10" t="s">
        <v>1639</v>
      </c>
      <c r="F680" s="9" t="n">
        <v>116.8</v>
      </c>
      <c r="G680" s="10" t="s">
        <v>339</v>
      </c>
    </row>
    <row r="681" customFormat="false" ht="15" hidden="false" customHeight="false" outlineLevel="0" collapsed="false">
      <c r="A681" s="9" t="s">
        <v>34</v>
      </c>
      <c r="B681" s="9" t="s">
        <v>21</v>
      </c>
      <c r="C681" s="10" t="s">
        <v>306</v>
      </c>
      <c r="D681" s="10" t="s">
        <v>1783</v>
      </c>
      <c r="E681" s="10" t="s">
        <v>1639</v>
      </c>
      <c r="F681" s="9" t="n">
        <v>11.8</v>
      </c>
      <c r="G681" s="10" t="s">
        <v>340</v>
      </c>
    </row>
    <row r="682" customFormat="false" ht="15" hidden="false" customHeight="false" outlineLevel="0" collapsed="false">
      <c r="A682" s="9" t="s">
        <v>34</v>
      </c>
      <c r="B682" s="9" t="s">
        <v>21</v>
      </c>
      <c r="C682" s="10" t="s">
        <v>306</v>
      </c>
      <c r="D682" s="10" t="s">
        <v>1836</v>
      </c>
      <c r="E682" s="10" t="s">
        <v>1639</v>
      </c>
      <c r="F682" s="9" t="n">
        <v>9.6</v>
      </c>
      <c r="G682" s="10" t="s">
        <v>342</v>
      </c>
    </row>
    <row r="683" customFormat="false" ht="15" hidden="false" customHeight="false" outlineLevel="0" collapsed="false">
      <c r="A683" s="9" t="s">
        <v>34</v>
      </c>
      <c r="B683" s="9" t="s">
        <v>21</v>
      </c>
      <c r="C683" s="10" t="s">
        <v>306</v>
      </c>
      <c r="D683" s="10" t="s">
        <v>1837</v>
      </c>
      <c r="E683" s="10" t="s">
        <v>1639</v>
      </c>
      <c r="F683" s="9" t="n">
        <v>5.5</v>
      </c>
      <c r="G683" s="10" t="s">
        <v>344</v>
      </c>
    </row>
    <row r="684" customFormat="false" ht="15" hidden="false" customHeight="false" outlineLevel="0" collapsed="false">
      <c r="A684" s="9" t="s">
        <v>34</v>
      </c>
      <c r="B684" s="9" t="s">
        <v>26</v>
      </c>
      <c r="C684" s="10" t="s">
        <v>306</v>
      </c>
      <c r="D684" s="10" t="s">
        <v>1838</v>
      </c>
      <c r="E684" s="10" t="s">
        <v>1639</v>
      </c>
      <c r="F684" s="9" t="n">
        <v>2714.7</v>
      </c>
      <c r="G684" s="10" t="s">
        <v>464</v>
      </c>
    </row>
    <row r="685" customFormat="false" ht="15" hidden="false" customHeight="false" outlineLevel="0" collapsed="false">
      <c r="A685" s="9" t="s">
        <v>34</v>
      </c>
      <c r="B685" s="9" t="s">
        <v>26</v>
      </c>
      <c r="C685" s="10" t="s">
        <v>306</v>
      </c>
      <c r="D685" s="10" t="s">
        <v>1839</v>
      </c>
      <c r="E685" s="10" t="s">
        <v>1639</v>
      </c>
      <c r="F685" s="9" t="n">
        <v>4192.8</v>
      </c>
      <c r="G685" s="10" t="s">
        <v>416</v>
      </c>
    </row>
    <row r="686" customFormat="false" ht="15" hidden="false" customHeight="false" outlineLevel="0" collapsed="false">
      <c r="A686" s="9" t="s">
        <v>34</v>
      </c>
      <c r="B686" s="9" t="s">
        <v>21</v>
      </c>
      <c r="C686" s="10" t="s">
        <v>306</v>
      </c>
      <c r="D686" s="10" t="s">
        <v>1840</v>
      </c>
      <c r="E686" s="10" t="s">
        <v>1639</v>
      </c>
      <c r="F686" s="9" t="n">
        <v>1175.9</v>
      </c>
      <c r="G686" s="10" t="s">
        <v>346</v>
      </c>
    </row>
    <row r="687" customFormat="false" ht="15" hidden="false" customHeight="false" outlineLevel="0" collapsed="false">
      <c r="A687" s="9" t="s">
        <v>34</v>
      </c>
      <c r="B687" s="9" t="s">
        <v>21</v>
      </c>
      <c r="C687" s="10" t="s">
        <v>306</v>
      </c>
      <c r="D687" s="9" t="s">
        <v>1841</v>
      </c>
      <c r="E687" s="10" t="s">
        <v>1639</v>
      </c>
      <c r="F687" s="9" t="n">
        <v>1941</v>
      </c>
      <c r="G687" s="10" t="s">
        <v>353</v>
      </c>
    </row>
    <row r="688" customFormat="false" ht="15" hidden="false" customHeight="false" outlineLevel="0" collapsed="false">
      <c r="A688" s="9" t="s">
        <v>34</v>
      </c>
      <c r="B688" s="9" t="s">
        <v>18</v>
      </c>
      <c r="C688" s="10" t="s">
        <v>111</v>
      </c>
      <c r="D688" s="10" t="s">
        <v>1842</v>
      </c>
      <c r="E688" s="10" t="s">
        <v>1639</v>
      </c>
      <c r="F688" s="9" t="n">
        <v>7</v>
      </c>
      <c r="G688" s="10" t="s">
        <v>113</v>
      </c>
    </row>
    <row r="689" customFormat="false" ht="15" hidden="false" customHeight="false" outlineLevel="0" collapsed="false">
      <c r="A689" s="9" t="s">
        <v>34</v>
      </c>
      <c r="B689" s="9" t="s">
        <v>18</v>
      </c>
      <c r="C689" s="10" t="s">
        <v>111</v>
      </c>
      <c r="D689" s="10" t="s">
        <v>1843</v>
      </c>
      <c r="E689" s="10" t="s">
        <v>1639</v>
      </c>
      <c r="F689" s="9" t="n">
        <v>8.3</v>
      </c>
      <c r="G689" s="10" t="s">
        <v>115</v>
      </c>
    </row>
    <row r="690" customFormat="false" ht="15" hidden="false" customHeight="false" outlineLevel="0" collapsed="false">
      <c r="A690" s="9" t="s">
        <v>34</v>
      </c>
      <c r="B690" s="9" t="s">
        <v>18</v>
      </c>
      <c r="C690" s="10" t="s">
        <v>116</v>
      </c>
      <c r="D690" s="10" t="s">
        <v>1844</v>
      </c>
      <c r="E690" s="10" t="s">
        <v>1639</v>
      </c>
      <c r="F690" s="9" t="n">
        <v>115.7</v>
      </c>
      <c r="G690" s="10" t="s">
        <v>118</v>
      </c>
    </row>
    <row r="691" customFormat="false" ht="15" hidden="false" customHeight="false" outlineLevel="0" collapsed="false">
      <c r="A691" s="9" t="s">
        <v>34</v>
      </c>
      <c r="B691" s="9" t="s">
        <v>18</v>
      </c>
      <c r="C691" s="10" t="s">
        <v>116</v>
      </c>
      <c r="D691" s="10" t="s">
        <v>1845</v>
      </c>
      <c r="E691" s="10" t="s">
        <v>1639</v>
      </c>
      <c r="F691" s="9" t="n">
        <v>25.4</v>
      </c>
      <c r="G691" s="10" t="s">
        <v>120</v>
      </c>
    </row>
    <row r="692" customFormat="false" ht="15" hidden="false" customHeight="false" outlineLevel="0" collapsed="false">
      <c r="A692" s="9" t="s">
        <v>34</v>
      </c>
      <c r="B692" s="9" t="s">
        <v>18</v>
      </c>
      <c r="C692" s="10" t="s">
        <v>121</v>
      </c>
      <c r="D692" s="10" t="s">
        <v>1846</v>
      </c>
      <c r="E692" s="10" t="s">
        <v>1639</v>
      </c>
      <c r="F692" s="9" t="n">
        <v>114</v>
      </c>
      <c r="G692" s="10" t="s">
        <v>123</v>
      </c>
    </row>
    <row r="693" customFormat="false" ht="15" hidden="false" customHeight="false" outlineLevel="0" collapsed="false">
      <c r="A693" s="9" t="s">
        <v>34</v>
      </c>
      <c r="B693" s="9" t="s">
        <v>18</v>
      </c>
      <c r="C693" s="10" t="s">
        <v>121</v>
      </c>
      <c r="D693" s="10" t="s">
        <v>1844</v>
      </c>
      <c r="E693" s="10" t="s">
        <v>1639</v>
      </c>
      <c r="F693" s="9" t="n">
        <v>115.7</v>
      </c>
      <c r="G693" s="10" t="s">
        <v>118</v>
      </c>
    </row>
    <row r="694" customFormat="false" ht="15" hidden="false" customHeight="false" outlineLevel="0" collapsed="false">
      <c r="A694" s="9" t="s">
        <v>34</v>
      </c>
      <c r="B694" s="9" t="s">
        <v>18</v>
      </c>
      <c r="C694" s="10" t="s">
        <v>121</v>
      </c>
      <c r="D694" s="10" t="s">
        <v>1845</v>
      </c>
      <c r="E694" s="10" t="s">
        <v>1639</v>
      </c>
      <c r="F694" s="9" t="n">
        <v>25.4</v>
      </c>
      <c r="G694" s="10" t="s">
        <v>120</v>
      </c>
    </row>
    <row r="695" customFormat="false" ht="15" hidden="false" customHeight="false" outlineLevel="0" collapsed="false">
      <c r="A695" s="9" t="s">
        <v>34</v>
      </c>
      <c r="B695" s="9" t="s">
        <v>17</v>
      </c>
      <c r="C695" s="10" t="s">
        <v>45</v>
      </c>
      <c r="D695" s="10" t="s">
        <v>1847</v>
      </c>
      <c r="E695" s="10" t="s">
        <v>1639</v>
      </c>
      <c r="F695" s="9" t="n">
        <v>6.3</v>
      </c>
      <c r="G695" s="10" t="s">
        <v>49</v>
      </c>
    </row>
    <row r="696" customFormat="false" ht="15" hidden="false" customHeight="false" outlineLevel="0" collapsed="false">
      <c r="A696" s="9" t="s">
        <v>34</v>
      </c>
      <c r="B696" s="9" t="s">
        <v>17</v>
      </c>
      <c r="C696" s="10" t="s">
        <v>50</v>
      </c>
      <c r="D696" s="10" t="s">
        <v>1848</v>
      </c>
      <c r="E696" s="10" t="s">
        <v>1639</v>
      </c>
      <c r="F696" s="9" t="n">
        <v>416</v>
      </c>
      <c r="G696" s="10" t="s">
        <v>1849</v>
      </c>
    </row>
    <row r="697" customFormat="false" ht="15" hidden="false" customHeight="false" outlineLevel="0" collapsed="false">
      <c r="A697" s="9" t="s">
        <v>34</v>
      </c>
      <c r="B697" s="9" t="s">
        <v>17</v>
      </c>
      <c r="C697" s="10" t="s">
        <v>50</v>
      </c>
      <c r="D697" s="10" t="s">
        <v>1850</v>
      </c>
      <c r="E697" s="10" t="s">
        <v>1639</v>
      </c>
      <c r="F697" s="9" t="n">
        <v>17.5</v>
      </c>
      <c r="G697" s="10" t="s">
        <v>54</v>
      </c>
    </row>
    <row r="698" customFormat="false" ht="15" hidden="false" customHeight="false" outlineLevel="0" collapsed="false">
      <c r="A698" s="9" t="s">
        <v>34</v>
      </c>
      <c r="B698" s="9" t="s">
        <v>17</v>
      </c>
      <c r="C698" s="10" t="s">
        <v>50</v>
      </c>
      <c r="D698" s="10" t="s">
        <v>1851</v>
      </c>
      <c r="E698" s="10" t="s">
        <v>1639</v>
      </c>
      <c r="F698" s="9" t="n">
        <v>70.4</v>
      </c>
      <c r="G698" s="10" t="s">
        <v>56</v>
      </c>
    </row>
    <row r="699" customFormat="false" ht="15" hidden="false" customHeight="false" outlineLevel="0" collapsed="false">
      <c r="A699" s="9" t="s">
        <v>34</v>
      </c>
      <c r="B699" s="9" t="s">
        <v>17</v>
      </c>
      <c r="C699" s="10" t="s">
        <v>50</v>
      </c>
      <c r="D699" s="10" t="s">
        <v>1852</v>
      </c>
      <c r="E699" s="10" t="s">
        <v>1639</v>
      </c>
      <c r="F699" s="9" t="n">
        <v>9.2</v>
      </c>
      <c r="G699" s="10" t="s">
        <v>719</v>
      </c>
    </row>
    <row r="700" customFormat="false" ht="15" hidden="false" customHeight="false" outlineLevel="0" collapsed="false">
      <c r="A700" s="9" t="s">
        <v>34</v>
      </c>
      <c r="B700" s="9" t="s">
        <v>17</v>
      </c>
      <c r="C700" s="10" t="s">
        <v>50</v>
      </c>
      <c r="D700" s="10" t="s">
        <v>1853</v>
      </c>
      <c r="E700" s="10" t="s">
        <v>1639</v>
      </c>
      <c r="F700" s="9" t="n">
        <v>8.3</v>
      </c>
      <c r="G700" s="10" t="s">
        <v>61</v>
      </c>
    </row>
    <row r="701" customFormat="false" ht="15" hidden="false" customHeight="false" outlineLevel="0" collapsed="false">
      <c r="A701" s="9" t="s">
        <v>34</v>
      </c>
      <c r="B701" s="9" t="s">
        <v>17</v>
      </c>
      <c r="C701" s="10" t="s">
        <v>50</v>
      </c>
      <c r="D701" s="10" t="s">
        <v>1854</v>
      </c>
      <c r="E701" s="10" t="s">
        <v>1639</v>
      </c>
      <c r="F701" s="9" t="n">
        <v>10.8</v>
      </c>
      <c r="G701" s="10" t="s">
        <v>64</v>
      </c>
    </row>
    <row r="702" customFormat="false" ht="15" hidden="false" customHeight="false" outlineLevel="0" collapsed="false">
      <c r="A702" s="9" t="s">
        <v>34</v>
      </c>
      <c r="B702" s="9" t="s">
        <v>18</v>
      </c>
      <c r="C702" s="10" t="s">
        <v>125</v>
      </c>
      <c r="D702" s="10" t="s">
        <v>1842</v>
      </c>
      <c r="E702" s="10" t="s">
        <v>1639</v>
      </c>
      <c r="F702" s="9" t="n">
        <v>7</v>
      </c>
      <c r="G702" s="10" t="s">
        <v>113</v>
      </c>
    </row>
    <row r="703" customFormat="false" ht="15" hidden="false" customHeight="false" outlineLevel="0" collapsed="false">
      <c r="A703" s="9" t="s">
        <v>34</v>
      </c>
      <c r="B703" s="9" t="s">
        <v>18</v>
      </c>
      <c r="C703" s="10" t="s">
        <v>125</v>
      </c>
      <c r="D703" s="10" t="s">
        <v>1843</v>
      </c>
      <c r="E703" s="10" t="s">
        <v>1639</v>
      </c>
      <c r="F703" s="9" t="n">
        <v>8.3</v>
      </c>
      <c r="G703" s="10" t="s">
        <v>115</v>
      </c>
    </row>
    <row r="704" customFormat="false" ht="15" hidden="false" customHeight="false" outlineLevel="0" collapsed="false">
      <c r="A704" s="9" t="s">
        <v>34</v>
      </c>
      <c r="B704" s="9" t="s">
        <v>18</v>
      </c>
      <c r="C704" s="10" t="s">
        <v>127</v>
      </c>
      <c r="D704" s="10" t="s">
        <v>1855</v>
      </c>
      <c r="E704" s="10" t="s">
        <v>1639</v>
      </c>
      <c r="F704" s="9" t="n">
        <v>3169.7</v>
      </c>
      <c r="G704" s="10" t="s">
        <v>129</v>
      </c>
    </row>
    <row r="705" customFormat="false" ht="15" hidden="false" customHeight="false" outlineLevel="0" collapsed="false">
      <c r="A705" s="9" t="s">
        <v>34</v>
      </c>
      <c r="B705" s="9" t="s">
        <v>18</v>
      </c>
      <c r="C705" s="10" t="s">
        <v>127</v>
      </c>
      <c r="D705" s="10" t="s">
        <v>1856</v>
      </c>
      <c r="E705" s="10" t="s">
        <v>1639</v>
      </c>
      <c r="F705" s="9" t="n">
        <v>214.6</v>
      </c>
      <c r="G705" s="10" t="s">
        <v>133</v>
      </c>
    </row>
    <row r="706" customFormat="false" ht="15" hidden="false" customHeight="false" outlineLevel="0" collapsed="false">
      <c r="A706" s="9" t="s">
        <v>34</v>
      </c>
      <c r="B706" s="9" t="s">
        <v>18</v>
      </c>
      <c r="C706" s="10" t="s">
        <v>127</v>
      </c>
      <c r="D706" s="10" t="s">
        <v>1857</v>
      </c>
      <c r="E706" s="10" t="s">
        <v>1639</v>
      </c>
      <c r="F706" s="9" t="n">
        <v>334.3</v>
      </c>
      <c r="G706" s="10" t="s">
        <v>135</v>
      </c>
    </row>
    <row r="707" customFormat="false" ht="15" hidden="false" customHeight="false" outlineLevel="0" collapsed="false">
      <c r="A707" s="9" t="s">
        <v>34</v>
      </c>
      <c r="B707" s="9" t="s">
        <v>18</v>
      </c>
      <c r="C707" s="10" t="s">
        <v>127</v>
      </c>
      <c r="D707" s="10" t="s">
        <v>1858</v>
      </c>
      <c r="E707" s="10" t="s">
        <v>1639</v>
      </c>
      <c r="F707" s="9" t="n">
        <v>547.6</v>
      </c>
      <c r="G707" s="10" t="s">
        <v>137</v>
      </c>
    </row>
    <row r="708" customFormat="false" ht="15" hidden="false" customHeight="false" outlineLevel="0" collapsed="false">
      <c r="A708" s="9" t="s">
        <v>34</v>
      </c>
      <c r="B708" s="9" t="s">
        <v>23</v>
      </c>
      <c r="C708" s="10" t="s">
        <v>127</v>
      </c>
      <c r="D708" s="10" t="s">
        <v>1859</v>
      </c>
      <c r="E708" s="10" t="s">
        <v>1639</v>
      </c>
      <c r="F708" s="9" t="n">
        <v>71.9</v>
      </c>
      <c r="G708" s="10" t="s">
        <v>429</v>
      </c>
    </row>
    <row r="709" customFormat="false" ht="15" hidden="false" customHeight="false" outlineLevel="0" collapsed="false">
      <c r="A709" s="9" t="s">
        <v>34</v>
      </c>
      <c r="B709" s="9" t="s">
        <v>23</v>
      </c>
      <c r="C709" s="10" t="s">
        <v>127</v>
      </c>
      <c r="D709" s="10" t="s">
        <v>1860</v>
      </c>
      <c r="E709" s="10" t="s">
        <v>1639</v>
      </c>
      <c r="F709" s="9" t="n">
        <v>71.8</v>
      </c>
      <c r="G709" s="10" t="s">
        <v>429</v>
      </c>
    </row>
    <row r="710" customFormat="false" ht="15" hidden="false" customHeight="false" outlineLevel="0" collapsed="false">
      <c r="A710" s="9" t="s">
        <v>34</v>
      </c>
      <c r="B710" s="9" t="s">
        <v>18</v>
      </c>
      <c r="C710" s="10" t="s">
        <v>127</v>
      </c>
      <c r="D710" s="10" t="s">
        <v>1861</v>
      </c>
      <c r="E710" s="10" t="s">
        <v>1639</v>
      </c>
      <c r="F710" s="9" t="n">
        <v>411.6</v>
      </c>
      <c r="G710" s="10" t="s">
        <v>139</v>
      </c>
    </row>
    <row r="711" customFormat="false" ht="15" hidden="false" customHeight="false" outlineLevel="0" collapsed="false">
      <c r="A711" s="9" t="s">
        <v>34</v>
      </c>
      <c r="B711" s="9" t="s">
        <v>23</v>
      </c>
      <c r="C711" s="10" t="s">
        <v>127</v>
      </c>
      <c r="D711" s="10" t="s">
        <v>1862</v>
      </c>
      <c r="E711" s="10" t="s">
        <v>1639</v>
      </c>
      <c r="F711" s="9" t="n">
        <v>176.3</v>
      </c>
      <c r="G711" s="10" t="s">
        <v>131</v>
      </c>
    </row>
    <row r="712" customFormat="false" ht="15" hidden="false" customHeight="false" outlineLevel="0" collapsed="false">
      <c r="A712" s="9" t="s">
        <v>34</v>
      </c>
      <c r="B712" s="9" t="s">
        <v>18</v>
      </c>
      <c r="C712" s="10" t="s">
        <v>141</v>
      </c>
      <c r="D712" s="10" t="s">
        <v>1855</v>
      </c>
      <c r="E712" s="10" t="s">
        <v>1639</v>
      </c>
      <c r="F712" s="9" t="n">
        <v>3169.7</v>
      </c>
      <c r="G712" s="10" t="s">
        <v>129</v>
      </c>
    </row>
    <row r="713" customFormat="false" ht="15" hidden="false" customHeight="false" outlineLevel="0" collapsed="false">
      <c r="A713" s="9" t="s">
        <v>34</v>
      </c>
      <c r="B713" s="9" t="s">
        <v>18</v>
      </c>
      <c r="C713" s="10" t="s">
        <v>141</v>
      </c>
      <c r="D713" s="10" t="s">
        <v>1856</v>
      </c>
      <c r="E713" s="10" t="s">
        <v>1639</v>
      </c>
      <c r="F713" s="9" t="n">
        <v>214.6</v>
      </c>
      <c r="G713" s="10" t="s">
        <v>133</v>
      </c>
    </row>
    <row r="714" customFormat="false" ht="15" hidden="false" customHeight="false" outlineLevel="0" collapsed="false">
      <c r="A714" s="9" t="s">
        <v>34</v>
      </c>
      <c r="B714" s="9" t="s">
        <v>18</v>
      </c>
      <c r="C714" s="10" t="s">
        <v>141</v>
      </c>
      <c r="D714" s="10" t="s">
        <v>1857</v>
      </c>
      <c r="E714" s="10" t="s">
        <v>1639</v>
      </c>
      <c r="F714" s="9" t="n">
        <v>334.3</v>
      </c>
      <c r="G714" s="10" t="s">
        <v>135</v>
      </c>
    </row>
    <row r="715" customFormat="false" ht="15" hidden="false" customHeight="false" outlineLevel="0" collapsed="false">
      <c r="A715" s="9" t="s">
        <v>34</v>
      </c>
      <c r="B715" s="9" t="s">
        <v>18</v>
      </c>
      <c r="C715" s="10" t="s">
        <v>141</v>
      </c>
      <c r="D715" s="10" t="s">
        <v>1863</v>
      </c>
      <c r="E715" s="10" t="s">
        <v>1639</v>
      </c>
      <c r="F715" s="9" t="n">
        <v>479</v>
      </c>
      <c r="G715" s="10" t="s">
        <v>143</v>
      </c>
    </row>
    <row r="716" customFormat="false" ht="15" hidden="false" customHeight="false" outlineLevel="0" collapsed="false">
      <c r="A716" s="9" t="s">
        <v>34</v>
      </c>
      <c r="B716" s="9" t="s">
        <v>18</v>
      </c>
      <c r="C716" s="10" t="s">
        <v>141</v>
      </c>
      <c r="D716" s="10" t="s">
        <v>1864</v>
      </c>
      <c r="E716" s="10" t="s">
        <v>1639</v>
      </c>
      <c r="F716" s="9" t="n">
        <v>875.7</v>
      </c>
      <c r="G716" s="10" t="s">
        <v>145</v>
      </c>
    </row>
    <row r="717" customFormat="false" ht="15" hidden="false" customHeight="false" outlineLevel="0" collapsed="false">
      <c r="A717" s="9" t="s">
        <v>34</v>
      </c>
      <c r="B717" s="9" t="s">
        <v>18</v>
      </c>
      <c r="C717" s="10" t="s">
        <v>141</v>
      </c>
      <c r="D717" s="10" t="s">
        <v>1865</v>
      </c>
      <c r="E717" s="10" t="s">
        <v>1639</v>
      </c>
      <c r="F717" s="9" t="n">
        <v>883.8</v>
      </c>
      <c r="G717" s="10" t="s">
        <v>147</v>
      </c>
    </row>
    <row r="718" customFormat="false" ht="15" hidden="false" customHeight="false" outlineLevel="0" collapsed="false">
      <c r="A718" s="9" t="s">
        <v>34</v>
      </c>
      <c r="B718" s="9" t="s">
        <v>18</v>
      </c>
      <c r="C718" s="10" t="s">
        <v>141</v>
      </c>
      <c r="D718" s="10" t="s">
        <v>1866</v>
      </c>
      <c r="E718" s="10" t="s">
        <v>1639</v>
      </c>
      <c r="F718" s="9" t="n">
        <v>841.9</v>
      </c>
      <c r="G718" s="10" t="s">
        <v>149</v>
      </c>
    </row>
    <row r="719" customFormat="false" ht="15" hidden="false" customHeight="false" outlineLevel="0" collapsed="false">
      <c r="A719" s="9" t="s">
        <v>34</v>
      </c>
      <c r="B719" s="9" t="s">
        <v>18</v>
      </c>
      <c r="C719" s="10" t="s">
        <v>141</v>
      </c>
      <c r="D719" s="10" t="s">
        <v>1867</v>
      </c>
      <c r="E719" s="10" t="s">
        <v>1639</v>
      </c>
      <c r="F719" s="9" t="n">
        <v>727.1</v>
      </c>
      <c r="G719" s="10" t="s">
        <v>151</v>
      </c>
    </row>
    <row r="720" customFormat="false" ht="15" hidden="false" customHeight="false" outlineLevel="0" collapsed="false">
      <c r="A720" s="9" t="s">
        <v>34</v>
      </c>
      <c r="B720" s="9" t="s">
        <v>18</v>
      </c>
      <c r="C720" s="10" t="s">
        <v>141</v>
      </c>
      <c r="D720" s="10" t="s">
        <v>1858</v>
      </c>
      <c r="E720" s="10" t="s">
        <v>1639</v>
      </c>
      <c r="F720" s="9" t="n">
        <v>547.6</v>
      </c>
      <c r="G720" s="10" t="s">
        <v>137</v>
      </c>
    </row>
    <row r="721" customFormat="false" ht="15" hidden="false" customHeight="false" outlineLevel="0" collapsed="false">
      <c r="A721" s="9" t="s">
        <v>34</v>
      </c>
      <c r="B721" s="9" t="s">
        <v>23</v>
      </c>
      <c r="C721" s="10" t="s">
        <v>141</v>
      </c>
      <c r="D721" s="10" t="s">
        <v>1859</v>
      </c>
      <c r="E721" s="10" t="s">
        <v>1639</v>
      </c>
      <c r="F721" s="9" t="n">
        <v>71.9</v>
      </c>
      <c r="G721" s="10" t="s">
        <v>429</v>
      </c>
    </row>
    <row r="722" customFormat="false" ht="15" hidden="false" customHeight="false" outlineLevel="0" collapsed="false">
      <c r="A722" s="9" t="s">
        <v>34</v>
      </c>
      <c r="B722" s="9" t="s">
        <v>23</v>
      </c>
      <c r="C722" s="10" t="s">
        <v>141</v>
      </c>
      <c r="D722" s="10" t="s">
        <v>1860</v>
      </c>
      <c r="E722" s="10" t="s">
        <v>1639</v>
      </c>
      <c r="F722" s="9" t="n">
        <v>71.8</v>
      </c>
      <c r="G722" s="10" t="s">
        <v>429</v>
      </c>
    </row>
    <row r="723" customFormat="false" ht="15" hidden="false" customHeight="false" outlineLevel="0" collapsed="false">
      <c r="A723" s="9" t="s">
        <v>34</v>
      </c>
      <c r="B723" s="9" t="s">
        <v>18</v>
      </c>
      <c r="C723" s="10" t="s">
        <v>141</v>
      </c>
      <c r="D723" s="10" t="s">
        <v>1861</v>
      </c>
      <c r="E723" s="10" t="s">
        <v>1639</v>
      </c>
      <c r="F723" s="9" t="n">
        <v>411.6</v>
      </c>
      <c r="G723" s="10" t="s">
        <v>139</v>
      </c>
    </row>
    <row r="724" customFormat="false" ht="15" hidden="false" customHeight="false" outlineLevel="0" collapsed="false">
      <c r="A724" s="9" t="s">
        <v>34</v>
      </c>
      <c r="B724" s="9" t="s">
        <v>23</v>
      </c>
      <c r="C724" s="10" t="s">
        <v>141</v>
      </c>
      <c r="D724" s="10" t="s">
        <v>1862</v>
      </c>
      <c r="E724" s="10" t="s">
        <v>1639</v>
      </c>
      <c r="F724" s="9" t="n">
        <v>176.3</v>
      </c>
      <c r="G724" s="10" t="s">
        <v>131</v>
      </c>
    </row>
    <row r="725" customFormat="false" ht="15" hidden="false" customHeight="false" outlineLevel="0" collapsed="false">
      <c r="A725" s="9" t="s">
        <v>35</v>
      </c>
      <c r="B725" s="9" t="s">
        <v>26</v>
      </c>
      <c r="C725" s="10" t="s">
        <v>547</v>
      </c>
      <c r="D725" s="10" t="s">
        <v>1868</v>
      </c>
      <c r="E725" s="10" t="s">
        <v>1869</v>
      </c>
      <c r="F725" s="9" t="n">
        <v>3.5</v>
      </c>
      <c r="G725" s="10" t="s">
        <v>189</v>
      </c>
    </row>
    <row r="726" customFormat="false" ht="15" hidden="false" customHeight="false" outlineLevel="0" collapsed="false">
      <c r="A726" s="9" t="s">
        <v>35</v>
      </c>
      <c r="B726" s="9" t="s">
        <v>26</v>
      </c>
      <c r="C726" s="10" t="s">
        <v>575</v>
      </c>
      <c r="D726" s="10" t="s">
        <v>1868</v>
      </c>
      <c r="E726" s="10" t="s">
        <v>1869</v>
      </c>
      <c r="F726" s="9" t="n">
        <v>29.5</v>
      </c>
      <c r="G726" s="10" t="s">
        <v>570</v>
      </c>
    </row>
    <row r="727" customFormat="false" ht="15" hidden="false" customHeight="false" outlineLevel="0" collapsed="false">
      <c r="A727" s="9" t="s">
        <v>35</v>
      </c>
      <c r="B727" s="9" t="s">
        <v>26</v>
      </c>
      <c r="C727" s="10" t="s">
        <v>612</v>
      </c>
      <c r="D727" s="10" t="s">
        <v>1868</v>
      </c>
      <c r="E727" s="10" t="s">
        <v>1869</v>
      </c>
      <c r="F727" s="9" t="n">
        <v>35.9</v>
      </c>
      <c r="G727" s="10" t="s">
        <v>555</v>
      </c>
    </row>
    <row r="728" customFormat="false" ht="15" hidden="false" customHeight="false" outlineLevel="0" collapsed="false">
      <c r="A728" s="9" t="s">
        <v>35</v>
      </c>
      <c r="B728" s="9" t="s">
        <v>26</v>
      </c>
      <c r="C728" s="10" t="s">
        <v>1396</v>
      </c>
      <c r="D728" s="10" t="s">
        <v>1870</v>
      </c>
      <c r="E728" s="10" t="s">
        <v>1871</v>
      </c>
      <c r="F728" s="9" t="n">
        <v>444.5</v>
      </c>
      <c r="G728" s="10" t="s">
        <v>1872</v>
      </c>
    </row>
    <row r="729" customFormat="false" ht="15" hidden="false" customHeight="false" outlineLevel="0" collapsed="false">
      <c r="A729" s="9" t="s">
        <v>35</v>
      </c>
      <c r="B729" s="9" t="s">
        <v>19</v>
      </c>
      <c r="C729" s="10" t="s">
        <v>156</v>
      </c>
      <c r="D729" s="10" t="s">
        <v>1868</v>
      </c>
      <c r="E729" s="10" t="s">
        <v>1869</v>
      </c>
      <c r="F729" s="9" t="n">
        <v>3.5</v>
      </c>
      <c r="G729" s="10" t="s">
        <v>165</v>
      </c>
    </row>
    <row r="730" customFormat="false" ht="15" hidden="false" customHeight="false" outlineLevel="0" collapsed="false">
      <c r="A730" s="9" t="s">
        <v>35</v>
      </c>
      <c r="B730" s="9" t="s">
        <v>19</v>
      </c>
      <c r="C730" s="10" t="s">
        <v>156</v>
      </c>
      <c r="D730" s="10" t="s">
        <v>1873</v>
      </c>
      <c r="E730" s="10" t="s">
        <v>1874</v>
      </c>
      <c r="F730" s="9" t="n">
        <v>11.6</v>
      </c>
      <c r="G730" s="10" t="s">
        <v>162</v>
      </c>
    </row>
    <row r="731" customFormat="false" ht="15" hidden="false" customHeight="false" outlineLevel="0" collapsed="false">
      <c r="A731" s="9" t="s">
        <v>35</v>
      </c>
      <c r="B731" s="9" t="s">
        <v>19</v>
      </c>
      <c r="C731" s="10" t="s">
        <v>177</v>
      </c>
      <c r="D731" s="10" t="s">
        <v>1875</v>
      </c>
      <c r="E731" s="10" t="s">
        <v>1876</v>
      </c>
      <c r="F731" s="9" t="n">
        <v>326.7</v>
      </c>
      <c r="G731" s="10" t="s">
        <v>189</v>
      </c>
    </row>
    <row r="732" customFormat="false" ht="15" hidden="false" customHeight="false" outlineLevel="0" collapsed="false">
      <c r="A732" s="9" t="s">
        <v>35</v>
      </c>
      <c r="B732" s="9" t="s">
        <v>19</v>
      </c>
      <c r="C732" s="10" t="s">
        <v>177</v>
      </c>
      <c r="D732" s="10" t="s">
        <v>1868</v>
      </c>
      <c r="E732" s="10" t="s">
        <v>1869</v>
      </c>
      <c r="F732" s="9" t="n">
        <v>3.6</v>
      </c>
      <c r="G732" s="10" t="s">
        <v>202</v>
      </c>
    </row>
    <row r="733" customFormat="false" ht="15" hidden="false" customHeight="false" outlineLevel="0" collapsed="false">
      <c r="A733" s="9" t="s">
        <v>35</v>
      </c>
      <c r="B733" s="9" t="s">
        <v>19</v>
      </c>
      <c r="C733" s="10" t="s">
        <v>177</v>
      </c>
      <c r="D733" s="10" t="s">
        <v>1877</v>
      </c>
      <c r="E733" s="10" t="s">
        <v>1878</v>
      </c>
      <c r="F733" s="9" t="n">
        <v>117.8</v>
      </c>
      <c r="G733" s="10" t="s">
        <v>187</v>
      </c>
    </row>
    <row r="734" customFormat="false" ht="15" hidden="false" customHeight="false" outlineLevel="0" collapsed="false">
      <c r="A734" s="9" t="s">
        <v>35</v>
      </c>
      <c r="B734" s="9" t="s">
        <v>22</v>
      </c>
      <c r="C734" s="10" t="s">
        <v>399</v>
      </c>
      <c r="D734" s="10" t="s">
        <v>1868</v>
      </c>
      <c r="E734" s="10" t="s">
        <v>1869</v>
      </c>
      <c r="F734" s="9" t="n">
        <v>25.8</v>
      </c>
      <c r="G734" s="10" t="s">
        <v>401</v>
      </c>
    </row>
    <row r="735" customFormat="false" ht="15" hidden="false" customHeight="false" outlineLevel="0" collapsed="false">
      <c r="A735" s="9" t="s">
        <v>35</v>
      </c>
      <c r="B735" s="9" t="s">
        <v>20</v>
      </c>
      <c r="C735" s="10" t="s">
        <v>277</v>
      </c>
      <c r="D735" s="10" t="s">
        <v>1868</v>
      </c>
      <c r="E735" s="10" t="s">
        <v>1869</v>
      </c>
      <c r="F735" s="9" t="n">
        <v>28.6</v>
      </c>
      <c r="G735" s="10" t="s">
        <v>279</v>
      </c>
    </row>
    <row r="736" customFormat="false" ht="15" hidden="false" customHeight="false" outlineLevel="0" collapsed="false">
      <c r="A736" s="9" t="s">
        <v>35</v>
      </c>
      <c r="B736" s="9" t="s">
        <v>26</v>
      </c>
      <c r="C736" s="10" t="s">
        <v>652</v>
      </c>
      <c r="D736" s="10" t="s">
        <v>1868</v>
      </c>
      <c r="E736" s="10" t="s">
        <v>1869</v>
      </c>
      <c r="F736" s="9" t="n">
        <v>4.3</v>
      </c>
      <c r="G736" s="10" t="s">
        <v>654</v>
      </c>
    </row>
    <row r="737" customFormat="false" ht="15" hidden="false" customHeight="false" outlineLevel="0" collapsed="false">
      <c r="A737" s="9" t="s">
        <v>35</v>
      </c>
      <c r="B737" s="9" t="s">
        <v>26</v>
      </c>
      <c r="C737" s="10" t="s">
        <v>1879</v>
      </c>
      <c r="D737" s="10" t="s">
        <v>1880</v>
      </c>
      <c r="E737" s="10" t="s">
        <v>1881</v>
      </c>
      <c r="F737" s="9" t="n">
        <v>0.1</v>
      </c>
      <c r="G737" s="10" t="s">
        <v>1882</v>
      </c>
    </row>
    <row r="738" customFormat="false" ht="15" hidden="false" customHeight="false" outlineLevel="0" collapsed="false">
      <c r="A738" s="9" t="s">
        <v>35</v>
      </c>
      <c r="B738" s="9" t="s">
        <v>26</v>
      </c>
      <c r="C738" s="10" t="s">
        <v>1879</v>
      </c>
      <c r="D738" s="10" t="s">
        <v>1883</v>
      </c>
      <c r="E738" s="10" t="s">
        <v>1881</v>
      </c>
      <c r="F738" s="9" t="n">
        <v>8.3</v>
      </c>
      <c r="G738" s="10" t="s">
        <v>1884</v>
      </c>
    </row>
    <row r="739" customFormat="false" ht="15" hidden="false" customHeight="false" outlineLevel="0" collapsed="false">
      <c r="A739" s="9" t="s">
        <v>35</v>
      </c>
      <c r="B739" s="9" t="s">
        <v>18</v>
      </c>
      <c r="C739" s="10" t="s">
        <v>79</v>
      </c>
      <c r="D739" s="10" t="s">
        <v>1868</v>
      </c>
      <c r="E739" s="10" t="s">
        <v>1869</v>
      </c>
      <c r="F739" s="9" t="n">
        <v>2.8</v>
      </c>
      <c r="G739" s="10" t="s">
        <v>83</v>
      </c>
    </row>
    <row r="740" customFormat="false" ht="15" hidden="false" customHeight="false" outlineLevel="0" collapsed="false">
      <c r="A740" s="9" t="s">
        <v>35</v>
      </c>
      <c r="B740" s="9" t="s">
        <v>18</v>
      </c>
      <c r="C740" s="10" t="s">
        <v>273</v>
      </c>
      <c r="D740" s="10" t="s">
        <v>1868</v>
      </c>
      <c r="E740" s="10" t="s">
        <v>1869</v>
      </c>
      <c r="F740" s="9" t="n">
        <v>39.6</v>
      </c>
      <c r="G740" s="10" t="s">
        <v>275</v>
      </c>
    </row>
    <row r="741" customFormat="false" ht="15" hidden="false" customHeight="false" outlineLevel="0" collapsed="false">
      <c r="A741" s="9" t="s">
        <v>35</v>
      </c>
      <c r="B741" s="9" t="s">
        <v>20</v>
      </c>
      <c r="C741" s="10" t="s">
        <v>281</v>
      </c>
      <c r="D741" s="10" t="s">
        <v>1885</v>
      </c>
      <c r="E741" s="10" t="s">
        <v>1869</v>
      </c>
      <c r="F741" s="9" t="n">
        <v>0.4</v>
      </c>
      <c r="G741" s="10" t="s">
        <v>304</v>
      </c>
    </row>
    <row r="742" customFormat="false" ht="15" hidden="false" customHeight="false" outlineLevel="0" collapsed="false">
      <c r="A742" s="9" t="s">
        <v>35</v>
      </c>
      <c r="B742" s="9" t="s">
        <v>22</v>
      </c>
      <c r="C742" s="10" t="s">
        <v>366</v>
      </c>
      <c r="D742" s="10" t="s">
        <v>1868</v>
      </c>
      <c r="E742" s="10" t="s">
        <v>1869</v>
      </c>
      <c r="F742" s="9" t="n">
        <v>39.6</v>
      </c>
      <c r="G742" s="10" t="s">
        <v>292</v>
      </c>
    </row>
    <row r="743" customFormat="false" ht="15" hidden="false" customHeight="false" outlineLevel="0" collapsed="false">
      <c r="A743" s="9" t="s">
        <v>35</v>
      </c>
      <c r="B743" s="9" t="s">
        <v>22</v>
      </c>
      <c r="C743" s="10" t="s">
        <v>366</v>
      </c>
      <c r="D743" s="10" t="s">
        <v>1885</v>
      </c>
      <c r="E743" s="10" t="s">
        <v>1869</v>
      </c>
      <c r="F743" s="9" t="n">
        <v>0.7</v>
      </c>
      <c r="G743" s="10" t="s">
        <v>1886</v>
      </c>
    </row>
    <row r="744" customFormat="false" ht="15" hidden="false" customHeight="false" outlineLevel="0" collapsed="false">
      <c r="A744" s="9" t="s">
        <v>35</v>
      </c>
      <c r="B744" s="9" t="s">
        <v>25</v>
      </c>
      <c r="C744" s="10" t="s">
        <v>461</v>
      </c>
      <c r="D744" s="10" t="s">
        <v>1885</v>
      </c>
      <c r="E744" s="10" t="s">
        <v>1869</v>
      </c>
      <c r="F744" s="9" t="n">
        <v>0.4</v>
      </c>
      <c r="G744" s="10" t="s">
        <v>1313</v>
      </c>
    </row>
    <row r="745" customFormat="false" ht="15" hidden="false" customHeight="false" outlineLevel="0" collapsed="false">
      <c r="A745" s="9" t="s">
        <v>35</v>
      </c>
      <c r="B745" s="9" t="s">
        <v>25</v>
      </c>
      <c r="C745" s="10" t="s">
        <v>474</v>
      </c>
      <c r="D745" s="10" t="s">
        <v>1868</v>
      </c>
      <c r="E745" s="10" t="s">
        <v>1869</v>
      </c>
      <c r="F745" s="9" t="n">
        <v>3.1</v>
      </c>
      <c r="G745" s="10" t="s">
        <v>478</v>
      </c>
    </row>
    <row r="746" customFormat="false" ht="15" hidden="false" customHeight="false" outlineLevel="0" collapsed="false">
      <c r="A746" s="9" t="s">
        <v>35</v>
      </c>
      <c r="B746" s="9" t="s">
        <v>25</v>
      </c>
      <c r="C746" s="10" t="s">
        <v>474</v>
      </c>
      <c r="D746" s="10" t="s">
        <v>1885</v>
      </c>
      <c r="E746" s="10" t="s">
        <v>1869</v>
      </c>
      <c r="F746" s="9" t="n">
        <v>0.3</v>
      </c>
      <c r="G746" s="10" t="s">
        <v>1311</v>
      </c>
    </row>
    <row r="747" customFormat="false" ht="15" hidden="false" customHeight="false" outlineLevel="0" collapsed="false">
      <c r="A747" s="9" t="s">
        <v>35</v>
      </c>
      <c r="B747" s="9" t="s">
        <v>25</v>
      </c>
      <c r="C747" s="10" t="s">
        <v>512</v>
      </c>
      <c r="D747" s="10" t="s">
        <v>1885</v>
      </c>
      <c r="E747" s="10" t="s">
        <v>1869</v>
      </c>
      <c r="F747" s="9" t="n">
        <v>2.2</v>
      </c>
      <c r="G747" s="10" t="s">
        <v>502</v>
      </c>
    </row>
    <row r="748" customFormat="false" ht="15" hidden="false" customHeight="false" outlineLevel="0" collapsed="false">
      <c r="A748" s="9" t="s">
        <v>35</v>
      </c>
      <c r="B748" s="9" t="s">
        <v>25</v>
      </c>
      <c r="C748" s="10" t="s">
        <v>519</v>
      </c>
      <c r="D748" s="10" t="s">
        <v>1885</v>
      </c>
      <c r="E748" s="10" t="s">
        <v>1869</v>
      </c>
      <c r="F748" s="9" t="n">
        <v>0.5</v>
      </c>
      <c r="G748" s="10" t="s">
        <v>502</v>
      </c>
    </row>
    <row r="749" customFormat="false" ht="15" hidden="false" customHeight="false" outlineLevel="0" collapsed="false">
      <c r="A749" s="9" t="s">
        <v>35</v>
      </c>
      <c r="B749" s="9" t="s">
        <v>25</v>
      </c>
      <c r="C749" s="10" t="s">
        <v>530</v>
      </c>
      <c r="D749" s="10" t="s">
        <v>1868</v>
      </c>
      <c r="E749" s="10" t="s">
        <v>1869</v>
      </c>
      <c r="F749" s="9" t="n">
        <v>22.4</v>
      </c>
      <c r="G749" s="10" t="s">
        <v>464</v>
      </c>
    </row>
    <row r="750" customFormat="false" ht="15" hidden="false" customHeight="false" outlineLevel="0" collapsed="false">
      <c r="A750" s="9" t="s">
        <v>35</v>
      </c>
      <c r="B750" s="9" t="s">
        <v>25</v>
      </c>
      <c r="C750" s="10" t="s">
        <v>530</v>
      </c>
      <c r="D750" s="10" t="s">
        <v>1885</v>
      </c>
      <c r="E750" s="10" t="s">
        <v>1869</v>
      </c>
      <c r="F750" s="9" t="n">
        <v>0.2</v>
      </c>
      <c r="G750" s="10" t="s">
        <v>418</v>
      </c>
    </row>
    <row r="751" customFormat="false" ht="15" hidden="false" customHeight="false" outlineLevel="0" collapsed="false">
      <c r="A751" s="9" t="s">
        <v>35</v>
      </c>
      <c r="B751" s="9" t="s">
        <v>25</v>
      </c>
      <c r="C751" s="10" t="s">
        <v>531</v>
      </c>
      <c r="D751" s="10" t="s">
        <v>1868</v>
      </c>
      <c r="E751" s="10" t="s">
        <v>1869</v>
      </c>
      <c r="F751" s="9" t="n">
        <v>22.4</v>
      </c>
      <c r="G751" s="10" t="s">
        <v>418</v>
      </c>
    </row>
    <row r="752" customFormat="false" ht="15" hidden="false" customHeight="false" outlineLevel="0" collapsed="false">
      <c r="A752" s="9" t="s">
        <v>35</v>
      </c>
      <c r="B752" s="9" t="s">
        <v>24</v>
      </c>
      <c r="C752" s="10" t="s">
        <v>431</v>
      </c>
      <c r="D752" s="10" t="s">
        <v>1868</v>
      </c>
      <c r="E752" s="10" t="s">
        <v>1869</v>
      </c>
      <c r="F752" s="9" t="n">
        <v>3.2</v>
      </c>
      <c r="G752" s="10" t="s">
        <v>450</v>
      </c>
    </row>
    <row r="753" customFormat="false" ht="15" hidden="false" customHeight="false" outlineLevel="0" collapsed="false">
      <c r="A753" s="9" t="s">
        <v>35</v>
      </c>
      <c r="B753" s="9" t="s">
        <v>24</v>
      </c>
      <c r="C753" s="10" t="s">
        <v>444</v>
      </c>
      <c r="D753" s="10" t="s">
        <v>1887</v>
      </c>
      <c r="E753" s="10" t="s">
        <v>1876</v>
      </c>
      <c r="F753" s="9" t="n">
        <v>5718.6</v>
      </c>
      <c r="G753" s="10" t="s">
        <v>446</v>
      </c>
    </row>
    <row r="754" customFormat="false" ht="15" hidden="false" customHeight="false" outlineLevel="0" collapsed="false">
      <c r="A754" s="9" t="s">
        <v>35</v>
      </c>
      <c r="B754" s="9" t="s">
        <v>24</v>
      </c>
      <c r="C754" s="10" t="s">
        <v>444</v>
      </c>
      <c r="D754" s="10" t="s">
        <v>1868</v>
      </c>
      <c r="E754" s="10" t="s">
        <v>1869</v>
      </c>
      <c r="F754" s="9" t="n">
        <v>39.6</v>
      </c>
      <c r="G754" s="10" t="s">
        <v>442</v>
      </c>
    </row>
    <row r="755" customFormat="false" ht="15" hidden="false" customHeight="false" outlineLevel="0" collapsed="false">
      <c r="A755" s="9" t="s">
        <v>35</v>
      </c>
      <c r="B755" s="9" t="s">
        <v>24</v>
      </c>
      <c r="C755" s="10" t="s">
        <v>444</v>
      </c>
      <c r="D755" s="10" t="s">
        <v>1885</v>
      </c>
      <c r="E755" s="10" t="s">
        <v>1869</v>
      </c>
      <c r="F755" s="9" t="n">
        <v>0.2</v>
      </c>
      <c r="G755" s="10" t="s">
        <v>452</v>
      </c>
    </row>
    <row r="756" customFormat="false" ht="15" hidden="false" customHeight="false" outlineLevel="0" collapsed="false">
      <c r="A756" s="9" t="s">
        <v>35</v>
      </c>
      <c r="B756" s="9" t="s">
        <v>24</v>
      </c>
      <c r="C756" s="10" t="s">
        <v>456</v>
      </c>
      <c r="D756" s="10" t="s">
        <v>1888</v>
      </c>
      <c r="E756" s="10" t="s">
        <v>1878</v>
      </c>
      <c r="F756" s="9" t="n">
        <v>0</v>
      </c>
      <c r="G756" s="10" t="s">
        <v>1889</v>
      </c>
    </row>
    <row r="757" customFormat="false" ht="15" hidden="false" customHeight="false" outlineLevel="0" collapsed="false">
      <c r="A757" s="9" t="s">
        <v>35</v>
      </c>
      <c r="B757" s="9" t="s">
        <v>24</v>
      </c>
      <c r="C757" s="10" t="s">
        <v>456</v>
      </c>
      <c r="D757" s="10" t="s">
        <v>1868</v>
      </c>
      <c r="E757" s="10" t="s">
        <v>1869</v>
      </c>
      <c r="F757" s="9" t="n">
        <v>3.2</v>
      </c>
      <c r="G757" s="10" t="s">
        <v>450</v>
      </c>
    </row>
    <row r="758" customFormat="false" ht="15" hidden="false" customHeight="false" outlineLevel="0" collapsed="false">
      <c r="A758" s="9" t="s">
        <v>35</v>
      </c>
      <c r="B758" s="9" t="s">
        <v>24</v>
      </c>
      <c r="C758" s="10" t="s">
        <v>457</v>
      </c>
      <c r="D758" s="10" t="s">
        <v>1887</v>
      </c>
      <c r="E758" s="10" t="s">
        <v>1876</v>
      </c>
      <c r="F758" s="9" t="n">
        <v>5718.6</v>
      </c>
      <c r="G758" s="10" t="s">
        <v>446</v>
      </c>
    </row>
    <row r="759" customFormat="false" ht="15" hidden="false" customHeight="false" outlineLevel="0" collapsed="false">
      <c r="A759" s="9" t="s">
        <v>35</v>
      </c>
      <c r="B759" s="9" t="s">
        <v>24</v>
      </c>
      <c r="C759" s="10" t="s">
        <v>457</v>
      </c>
      <c r="D759" s="10" t="s">
        <v>1868</v>
      </c>
      <c r="E759" s="10" t="s">
        <v>1869</v>
      </c>
      <c r="F759" s="9" t="n">
        <v>39.6</v>
      </c>
      <c r="G759" s="10" t="s">
        <v>442</v>
      </c>
    </row>
    <row r="760" customFormat="false" ht="15" hidden="false" customHeight="false" outlineLevel="0" collapsed="false">
      <c r="A760" s="9" t="s">
        <v>35</v>
      </c>
      <c r="B760" s="9" t="s">
        <v>24</v>
      </c>
      <c r="C760" s="10" t="s">
        <v>457</v>
      </c>
      <c r="D760" s="10" t="s">
        <v>1885</v>
      </c>
      <c r="E760" s="10" t="s">
        <v>1869</v>
      </c>
      <c r="F760" s="9" t="n">
        <v>0.2</v>
      </c>
      <c r="G760" s="10" t="s">
        <v>452</v>
      </c>
    </row>
    <row r="761" customFormat="false" ht="15" hidden="false" customHeight="false" outlineLevel="0" collapsed="false">
      <c r="A761" s="9" t="s">
        <v>35</v>
      </c>
      <c r="B761" s="9" t="s">
        <v>19</v>
      </c>
      <c r="C761" s="10" t="s">
        <v>211</v>
      </c>
      <c r="D761" s="10" t="s">
        <v>1890</v>
      </c>
      <c r="E761" s="10" t="s">
        <v>1891</v>
      </c>
      <c r="F761" s="9" t="n">
        <v>0.1</v>
      </c>
      <c r="G761" s="10" t="s">
        <v>222</v>
      </c>
    </row>
    <row r="762" customFormat="false" ht="15" hidden="false" customHeight="false" outlineLevel="0" collapsed="false">
      <c r="A762" s="9" t="s">
        <v>35</v>
      </c>
      <c r="B762" s="9" t="s">
        <v>19</v>
      </c>
      <c r="C762" s="10" t="s">
        <v>211</v>
      </c>
      <c r="D762" s="10" t="s">
        <v>1892</v>
      </c>
      <c r="E762" s="10" t="s">
        <v>1893</v>
      </c>
      <c r="F762" s="9" t="n">
        <v>0.2</v>
      </c>
      <c r="G762" s="10" t="s">
        <v>222</v>
      </c>
    </row>
    <row r="763" customFormat="false" ht="15" hidden="false" customHeight="false" outlineLevel="0" collapsed="false">
      <c r="A763" s="9" t="s">
        <v>35</v>
      </c>
      <c r="B763" s="9" t="s">
        <v>19</v>
      </c>
      <c r="C763" s="10" t="s">
        <v>211</v>
      </c>
      <c r="D763" s="10" t="s">
        <v>1868</v>
      </c>
      <c r="E763" s="10" t="s">
        <v>1869</v>
      </c>
      <c r="F763" s="9" t="n">
        <v>14.3</v>
      </c>
      <c r="G763" s="10" t="s">
        <v>1894</v>
      </c>
    </row>
    <row r="764" customFormat="false" ht="15" hidden="false" customHeight="false" outlineLevel="0" collapsed="false">
      <c r="A764" s="9" t="s">
        <v>35</v>
      </c>
      <c r="B764" s="9" t="s">
        <v>22</v>
      </c>
      <c r="C764" s="10" t="s">
        <v>371</v>
      </c>
      <c r="D764" s="10" t="s">
        <v>1895</v>
      </c>
      <c r="E764" s="10" t="s">
        <v>1876</v>
      </c>
      <c r="F764" s="9" t="n">
        <v>1205.2</v>
      </c>
      <c r="G764" s="10" t="s">
        <v>378</v>
      </c>
    </row>
    <row r="765" customFormat="false" ht="15" hidden="false" customHeight="false" outlineLevel="0" collapsed="false">
      <c r="A765" s="9" t="s">
        <v>35</v>
      </c>
      <c r="B765" s="9" t="s">
        <v>22</v>
      </c>
      <c r="C765" s="10" t="s">
        <v>371</v>
      </c>
      <c r="D765" s="10" t="s">
        <v>1868</v>
      </c>
      <c r="E765" s="10" t="s">
        <v>1869</v>
      </c>
      <c r="F765" s="9" t="n">
        <v>39.6</v>
      </c>
      <c r="G765" s="10" t="s">
        <v>397</v>
      </c>
    </row>
    <row r="766" customFormat="false" ht="15" hidden="false" customHeight="false" outlineLevel="0" collapsed="false">
      <c r="A766" s="9" t="s">
        <v>35</v>
      </c>
      <c r="B766" s="9" t="s">
        <v>22</v>
      </c>
      <c r="C766" s="10" t="s">
        <v>371</v>
      </c>
      <c r="D766" s="10" t="s">
        <v>1885</v>
      </c>
      <c r="E766" s="10" t="s">
        <v>1869</v>
      </c>
      <c r="F766" s="9" t="n">
        <v>0.6</v>
      </c>
      <c r="G766" s="10" t="s">
        <v>397</v>
      </c>
    </row>
    <row r="767" customFormat="false" ht="15" hidden="false" customHeight="false" outlineLevel="0" collapsed="false">
      <c r="A767" s="9" t="s">
        <v>35</v>
      </c>
      <c r="B767" s="9" t="s">
        <v>21</v>
      </c>
      <c r="C767" s="10" t="s">
        <v>306</v>
      </c>
      <c r="D767" s="10" t="s">
        <v>1896</v>
      </c>
      <c r="E767" s="10" t="s">
        <v>1876</v>
      </c>
      <c r="F767" s="9" t="n">
        <v>1249.5</v>
      </c>
      <c r="G767" s="10" t="s">
        <v>342</v>
      </c>
    </row>
    <row r="768" customFormat="false" ht="15" hidden="false" customHeight="false" outlineLevel="0" collapsed="false">
      <c r="A768" s="9" t="s">
        <v>35</v>
      </c>
      <c r="B768" s="9" t="s">
        <v>18</v>
      </c>
      <c r="C768" s="10" t="s">
        <v>116</v>
      </c>
      <c r="D768" s="10" t="s">
        <v>1868</v>
      </c>
      <c r="E768" s="10" t="s">
        <v>1869</v>
      </c>
      <c r="F768" s="9" t="n">
        <v>8.8</v>
      </c>
      <c r="G768" s="10" t="s">
        <v>120</v>
      </c>
    </row>
    <row r="769" customFormat="false" ht="15" hidden="false" customHeight="false" outlineLevel="0" collapsed="false">
      <c r="A769" s="9" t="s">
        <v>35</v>
      </c>
      <c r="B769" s="9" t="s">
        <v>18</v>
      </c>
      <c r="C769" s="10" t="s">
        <v>121</v>
      </c>
      <c r="D769" s="10" t="s">
        <v>1868</v>
      </c>
      <c r="E769" s="10" t="s">
        <v>1869</v>
      </c>
      <c r="F769" s="9" t="n">
        <v>8.8</v>
      </c>
      <c r="G769" s="10" t="s">
        <v>120</v>
      </c>
    </row>
    <row r="770" customFormat="false" ht="15" hidden="false" customHeight="false" outlineLevel="0" collapsed="false">
      <c r="A770" s="9" t="s">
        <v>35</v>
      </c>
      <c r="B770" s="9" t="s">
        <v>17</v>
      </c>
      <c r="C770" s="10" t="s">
        <v>50</v>
      </c>
      <c r="D770" s="10" t="s">
        <v>1897</v>
      </c>
      <c r="E770" s="10" t="s">
        <v>1891</v>
      </c>
      <c r="F770" s="9" t="n">
        <v>0.1</v>
      </c>
      <c r="G770" s="10" t="s">
        <v>61</v>
      </c>
    </row>
    <row r="771" customFormat="false" ht="15" hidden="false" customHeight="false" outlineLevel="0" collapsed="false">
      <c r="A771" s="9" t="s">
        <v>35</v>
      </c>
      <c r="B771" s="9" t="s">
        <v>17</v>
      </c>
      <c r="C771" s="10" t="s">
        <v>50</v>
      </c>
      <c r="D771" s="10" t="s">
        <v>1898</v>
      </c>
      <c r="E771" s="10" t="s">
        <v>1893</v>
      </c>
      <c r="F771" s="9" t="n">
        <v>0.2</v>
      </c>
      <c r="G771" s="10" t="s">
        <v>61</v>
      </c>
    </row>
    <row r="772" customFormat="false" ht="15" hidden="false" customHeight="false" outlineLevel="0" collapsed="false">
      <c r="A772" s="9" t="s">
        <v>35</v>
      </c>
      <c r="B772" s="9" t="s">
        <v>17</v>
      </c>
      <c r="C772" s="10" t="s">
        <v>50</v>
      </c>
      <c r="D772" s="10" t="s">
        <v>1885</v>
      </c>
      <c r="E772" s="10" t="s">
        <v>1869</v>
      </c>
      <c r="F772" s="9" t="n">
        <v>0.2</v>
      </c>
      <c r="G772" s="10" t="s">
        <v>61</v>
      </c>
    </row>
    <row r="773" customFormat="false" ht="15" hidden="false" customHeight="false" outlineLevel="0" collapsed="false">
      <c r="A773" s="9" t="s">
        <v>35</v>
      </c>
      <c r="B773" s="9" t="s">
        <v>18</v>
      </c>
      <c r="C773" s="10" t="s">
        <v>127</v>
      </c>
      <c r="D773" s="10" t="s">
        <v>1899</v>
      </c>
      <c r="E773" s="10" t="s">
        <v>1891</v>
      </c>
      <c r="F773" s="9" t="n">
        <v>0.1</v>
      </c>
      <c r="G773" s="10" t="s">
        <v>131</v>
      </c>
    </row>
    <row r="774" customFormat="false" ht="15" hidden="false" customHeight="false" outlineLevel="0" collapsed="false">
      <c r="A774" s="9" t="s">
        <v>35</v>
      </c>
      <c r="B774" s="9" t="s">
        <v>18</v>
      </c>
      <c r="C774" s="10" t="s">
        <v>127</v>
      </c>
      <c r="D774" s="10" t="s">
        <v>1900</v>
      </c>
      <c r="E774" s="10" t="s">
        <v>1893</v>
      </c>
      <c r="F774" s="9" t="n">
        <v>0.2</v>
      </c>
      <c r="G774" s="10" t="s">
        <v>131</v>
      </c>
    </row>
    <row r="775" customFormat="false" ht="15" hidden="false" customHeight="false" outlineLevel="0" collapsed="false">
      <c r="A775" s="9" t="s">
        <v>35</v>
      </c>
      <c r="B775" s="9" t="s">
        <v>18</v>
      </c>
      <c r="C775" s="10" t="s">
        <v>127</v>
      </c>
      <c r="D775" s="10" t="s">
        <v>1868</v>
      </c>
      <c r="E775" s="10" t="s">
        <v>1869</v>
      </c>
      <c r="F775" s="9" t="n">
        <v>3</v>
      </c>
      <c r="G775" s="10" t="s">
        <v>429</v>
      </c>
    </row>
    <row r="776" customFormat="false" ht="15" hidden="false" customHeight="false" outlineLevel="0" collapsed="false">
      <c r="A776" s="9" t="s">
        <v>35</v>
      </c>
      <c r="B776" s="9" t="s">
        <v>18</v>
      </c>
      <c r="C776" s="10" t="s">
        <v>141</v>
      </c>
      <c r="D776" s="10" t="s">
        <v>1899</v>
      </c>
      <c r="E776" s="10" t="s">
        <v>1891</v>
      </c>
      <c r="F776" s="9" t="n">
        <v>0.1</v>
      </c>
      <c r="G776" s="10" t="s">
        <v>131</v>
      </c>
    </row>
    <row r="777" customFormat="false" ht="15" hidden="false" customHeight="false" outlineLevel="0" collapsed="false">
      <c r="A777" s="9" t="s">
        <v>35</v>
      </c>
      <c r="B777" s="9" t="s">
        <v>18</v>
      </c>
      <c r="C777" s="10" t="s">
        <v>141</v>
      </c>
      <c r="D777" s="10" t="s">
        <v>1900</v>
      </c>
      <c r="E777" s="10" t="s">
        <v>1893</v>
      </c>
      <c r="F777" s="9" t="n">
        <v>0.2</v>
      </c>
      <c r="G777" s="10" t="s">
        <v>131</v>
      </c>
    </row>
    <row r="778" customFormat="false" ht="15" hidden="false" customHeight="false" outlineLevel="0" collapsed="false">
      <c r="A778" s="9" t="s">
        <v>35</v>
      </c>
      <c r="B778" s="9" t="s">
        <v>18</v>
      </c>
      <c r="C778" s="10" t="s">
        <v>141</v>
      </c>
      <c r="D778" s="10" t="s">
        <v>1868</v>
      </c>
      <c r="E778" s="10" t="s">
        <v>1869</v>
      </c>
      <c r="F778" s="9" t="n">
        <v>3</v>
      </c>
      <c r="G778" s="10" t="s">
        <v>429</v>
      </c>
    </row>
  </sheetData>
  <autoFilter ref="A1:G7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2026-07-21T11:41:17Z</dcterms:created>
  <dc:creator>openpyxl</dc:creator>
  <dc:description/>
  <dc:language>en-US</dc:language>
  <cp:lastModifiedBy/>
  <dcterms:modified xsi:type="dcterms:W3CDTF">2026-07-21T11:41:18Z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